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325" codeName="{2109D909-C6D8-E34B-4C66-09127ED2DC46}"/>
  <workbookPr filterPrivacy="1" codeName="DieseArbeitsmappe"/>
  <xr:revisionPtr revIDLastSave="0" documentId="13_ncr:1_{823E0970-3B76-4744-8AF0-8C905538F095}" xr6:coauthVersionLast="45" xr6:coauthVersionMax="45" xr10:uidLastSave="{00000000-0000-0000-0000-000000000000}"/>
  <bookViews>
    <workbookView xWindow="-120" yWindow="-120" windowWidth="29040" windowHeight="15840" tabRatio="733" activeTab="3" xr2:uid="{00000000-000D-0000-FFFF-FFFF00000000}"/>
  </bookViews>
  <sheets>
    <sheet name="Stakeholders" sheetId="1" r:id="rId1"/>
    <sheet name="Goals &amp; Risks" sheetId="4" r:id="rId2"/>
    <sheet name="Requirements" sheetId="10" r:id="rId3"/>
    <sheet name="Epics" sheetId="15" r:id="rId4"/>
    <sheet name="Who does what" sheetId="14" r:id="rId5"/>
    <sheet name="_Dimensions" sheetId="13" r:id="rId6"/>
    <sheet name="_Effects" sheetId="7" r:id="rId7"/>
    <sheet name="_Scenarios" sheetId="5" r:id="rId8"/>
    <sheet name="_Domains" sheetId="16" r:id="rId9"/>
    <sheet name="_Param" sheetId="6" r:id="rId10"/>
    <sheet name="_GRREQ" sheetId="12" r:id="rId11"/>
  </sheets>
  <functionGroups builtInGroupCount="19"/>
  <definedNames>
    <definedName name="_xlnm._FilterDatabase" localSheetId="1" hidden="1">'Goals &amp; Risks'!$A$1:$H$159</definedName>
    <definedName name="_xlnm._FilterDatabase" localSheetId="4" hidden="1">'Who does what'!$A$2:$G$13</definedName>
    <definedName name="Abbreviations">_Param!$A$3:$B$18</definedName>
    <definedName name="CompTypes">_Domains!$C$2:$C$12</definedName>
    <definedName name="CompTypes_and_Explanation">_Domains!$C$2:$D$7</definedName>
    <definedName name="Dimensions">_Dimensions!$B$2:$B$11</definedName>
    <definedName name="Dims_And_Explanation">_Dimensions!$B$2:$D$11</definedName>
    <definedName name="Domains">_Domains!$A$2:$A$6</definedName>
    <definedName name="GR_Affected_Stakeholders">'Goals &amp; Risks'!$E$2:$E$226</definedName>
    <definedName name="GR_All">'Goals &amp; Risks'!$A$2:$H$226</definedName>
    <definedName name="GR_Degrees">'Goals &amp; Risks'!$G$2:$G$226</definedName>
    <definedName name="GR_Dims_System_might_affect">'Goals &amp; Risks'!$F$2:$F$226</definedName>
    <definedName name="GR_IDs">'Goals &amp; Risks'!$A$2:$A$226</definedName>
    <definedName name="Realization_Explanation">_Param!$D$3:$G$13</definedName>
    <definedName name="Req_IDs">Requirements!$A$7:$A$195</definedName>
    <definedName name="Reqs_and_Explanation">Requirements!$A$7:$C$495</definedName>
    <definedName name="Scenarios">_Scenarios!$B$3:$B$17</definedName>
    <definedName name="Scens_And_Explanation">_Scenarios!$B$3:$C$17</definedName>
    <definedName name="Stakeholders">Stakeholders!$A$3:$A$13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338" i="15" l="1"/>
  <c r="A337" i="15"/>
  <c r="A336" i="15"/>
  <c r="A335" i="15"/>
  <c r="A334" i="15"/>
  <c r="A333" i="15"/>
  <c r="A332" i="15"/>
  <c r="A331" i="15"/>
  <c r="A330" i="15"/>
  <c r="A329" i="15"/>
  <c r="A328" i="15"/>
  <c r="A327" i="15"/>
  <c r="A326" i="15"/>
  <c r="A325" i="15"/>
  <c r="A324" i="15"/>
  <c r="A323" i="15"/>
  <c r="A322" i="15"/>
  <c r="A321" i="15"/>
  <c r="A320" i="15"/>
  <c r="A319" i="15"/>
  <c r="A318" i="15"/>
  <c r="A317" i="15"/>
  <c r="A316" i="15"/>
  <c r="A315" i="15"/>
  <c r="A314" i="15"/>
  <c r="A313" i="15"/>
  <c r="A312" i="15"/>
  <c r="A311" i="15"/>
  <c r="A310" i="15"/>
  <c r="A309" i="15"/>
  <c r="A308" i="15"/>
  <c r="A307" i="15"/>
  <c r="A306" i="15"/>
  <c r="A305" i="15"/>
  <c r="A304" i="15"/>
  <c r="A303" i="15"/>
  <c r="A302" i="15"/>
  <c r="A301" i="15"/>
  <c r="A300" i="15"/>
  <c r="A299" i="15"/>
  <c r="A298" i="15"/>
  <c r="A297" i="15"/>
  <c r="A296" i="15"/>
  <c r="A295" i="15"/>
  <c r="A294" i="15"/>
  <c r="A293" i="15"/>
  <c r="A292" i="15"/>
  <c r="A291" i="15"/>
  <c r="A290" i="15"/>
  <c r="A289" i="15"/>
  <c r="A288" i="15"/>
  <c r="A287" i="15"/>
  <c r="A286" i="15"/>
  <c r="A285" i="15"/>
  <c r="A284" i="15"/>
  <c r="A283" i="15"/>
  <c r="A282" i="15"/>
  <c r="A281" i="15"/>
  <c r="A280" i="15"/>
  <c r="A279" i="15"/>
  <c r="A278" i="15"/>
  <c r="A277" i="15"/>
  <c r="A276" i="15"/>
  <c r="A275" i="15"/>
  <c r="A274" i="15"/>
  <c r="A273" i="15"/>
  <c r="A272" i="15"/>
  <c r="A271" i="15"/>
  <c r="A270" i="15"/>
  <c r="A269" i="15"/>
  <c r="A268" i="15"/>
  <c r="A267" i="15"/>
  <c r="A266" i="15"/>
  <c r="A265" i="15"/>
  <c r="A264" i="15"/>
  <c r="A263" i="15"/>
  <c r="A262" i="15"/>
  <c r="A261" i="15"/>
  <c r="A260" i="15"/>
  <c r="A259" i="15"/>
  <c r="A258" i="15"/>
  <c r="A257" i="15"/>
  <c r="A256" i="15"/>
  <c r="A255" i="15"/>
  <c r="A254" i="15"/>
  <c r="A253" i="15"/>
  <c r="A252" i="15"/>
  <c r="A251" i="15"/>
  <c r="A250" i="15"/>
  <c r="A249" i="15"/>
  <c r="A248" i="15"/>
  <c r="A247" i="15"/>
  <c r="A246" i="15"/>
  <c r="A245" i="15"/>
  <c r="A244" i="15"/>
  <c r="A243" i="15"/>
  <c r="A242" i="15"/>
  <c r="A241" i="15"/>
  <c r="A240" i="15"/>
  <c r="A239" i="15"/>
  <c r="A238" i="15"/>
  <c r="A237" i="15"/>
  <c r="A236" i="15"/>
  <c r="A235" i="15"/>
  <c r="A234" i="15"/>
  <c r="A233" i="15"/>
  <c r="A232" i="15"/>
  <c r="A231" i="15"/>
  <c r="A230" i="15"/>
  <c r="A229" i="15"/>
  <c r="A228" i="15"/>
  <c r="A227" i="15"/>
  <c r="A226" i="15"/>
  <c r="A225" i="15"/>
  <c r="A224" i="15"/>
  <c r="A223" i="15"/>
  <c r="A222" i="15"/>
  <c r="A221" i="15"/>
  <c r="A220" i="15"/>
  <c r="A219" i="15"/>
  <c r="A218" i="15"/>
  <c r="A217" i="15"/>
  <c r="A216" i="15"/>
  <c r="A215" i="15"/>
  <c r="A214" i="15"/>
  <c r="A213" i="15"/>
  <c r="A212" i="15"/>
  <c r="A211" i="15"/>
  <c r="A210" i="15"/>
  <c r="A209" i="15"/>
  <c r="A208" i="15"/>
  <c r="A207" i="15"/>
  <c r="A206" i="15"/>
  <c r="A205" i="15"/>
  <c r="A204" i="15"/>
  <c r="A203" i="15"/>
  <c r="A202" i="15"/>
  <c r="A201" i="15"/>
  <c r="A200" i="15"/>
  <c r="A199" i="15"/>
  <c r="A198" i="15"/>
  <c r="A197" i="15"/>
  <c r="A196" i="15"/>
  <c r="A195" i="15"/>
  <c r="A194" i="15"/>
  <c r="A193" i="15"/>
  <c r="A192" i="15"/>
  <c r="A191" i="15"/>
  <c r="A190" i="15"/>
  <c r="A189" i="15"/>
  <c r="A188" i="15"/>
  <c r="A187" i="15"/>
  <c r="A186" i="15"/>
  <c r="A185" i="15"/>
  <c r="A184" i="15"/>
  <c r="A183" i="15"/>
  <c r="A182" i="15"/>
  <c r="A181" i="15"/>
  <c r="A180" i="15"/>
  <c r="A179" i="15"/>
  <c r="A178" i="15"/>
  <c r="A177" i="15"/>
  <c r="A176" i="15"/>
  <c r="A175" i="15"/>
  <c r="A174" i="15"/>
  <c r="A173" i="15"/>
  <c r="A172" i="15"/>
  <c r="A171" i="15"/>
  <c r="A170" i="15"/>
  <c r="A169" i="15"/>
  <c r="A168" i="15"/>
  <c r="A167" i="15"/>
  <c r="A166" i="15"/>
  <c r="A165" i="15"/>
  <c r="A164" i="15"/>
  <c r="A163" i="15"/>
  <c r="A162" i="15"/>
  <c r="A161" i="15"/>
  <c r="A160" i="15"/>
  <c r="A159" i="15"/>
  <c r="A158" i="15"/>
  <c r="A157" i="15"/>
  <c r="A156" i="15"/>
  <c r="A155" i="15"/>
  <c r="A154" i="15"/>
  <c r="A153" i="15"/>
  <c r="A152" i="15"/>
  <c r="A151" i="15"/>
  <c r="A150" i="15"/>
  <c r="A149" i="15"/>
  <c r="A148" i="15"/>
  <c r="A147" i="15"/>
  <c r="A146" i="15"/>
  <c r="A145" i="15"/>
  <c r="A144" i="15"/>
  <c r="A143" i="15"/>
  <c r="A142" i="15"/>
  <c r="A141" i="15"/>
  <c r="A140" i="15"/>
  <c r="A139" i="15"/>
  <c r="A138" i="15"/>
  <c r="A137" i="15"/>
  <c r="A136" i="15"/>
  <c r="A135" i="15"/>
  <c r="A134" i="15"/>
  <c r="A133" i="15"/>
  <c r="A132" i="15"/>
  <c r="A131" i="15"/>
  <c r="A130" i="15"/>
  <c r="A129" i="15"/>
  <c r="A128" i="15"/>
  <c r="A127" i="15"/>
  <c r="A126" i="15"/>
  <c r="A125" i="15"/>
  <c r="A124" i="15"/>
  <c r="A123" i="15"/>
  <c r="A122" i="15"/>
  <c r="A121" i="15"/>
  <c r="A120" i="15"/>
  <c r="A119" i="15"/>
  <c r="A118" i="15"/>
  <c r="A117" i="15"/>
  <c r="A116" i="15"/>
  <c r="A115" i="15"/>
  <c r="A114" i="15"/>
  <c r="A113" i="15"/>
  <c r="A112" i="15"/>
  <c r="A111" i="15"/>
  <c r="A110" i="15"/>
  <c r="A109" i="15"/>
  <c r="A108" i="15"/>
  <c r="A107" i="15"/>
  <c r="A106" i="15"/>
  <c r="A105" i="15"/>
  <c r="A104" i="15"/>
  <c r="A103" i="15"/>
  <c r="A102" i="15"/>
  <c r="A101" i="15"/>
  <c r="A100" i="15"/>
  <c r="A99" i="15"/>
  <c r="A98" i="15"/>
  <c r="A97" i="15"/>
  <c r="A96" i="15"/>
  <c r="A95" i="15"/>
  <c r="A94" i="15"/>
  <c r="A93" i="15"/>
  <c r="A92" i="15"/>
  <c r="A91" i="15"/>
  <c r="A90" i="15"/>
  <c r="A89" i="15"/>
  <c r="A88" i="15"/>
  <c r="A87" i="15"/>
  <c r="A86" i="15"/>
  <c r="A85" i="15"/>
  <c r="A84" i="15"/>
  <c r="A83" i="15"/>
  <c r="A82" i="15"/>
  <c r="A81" i="15"/>
  <c r="A80" i="15"/>
  <c r="A79" i="15"/>
  <c r="A78" i="15"/>
  <c r="A77" i="15"/>
  <c r="A76" i="15"/>
  <c r="A75" i="15"/>
  <c r="A74" i="15"/>
  <c r="A73" i="15"/>
  <c r="A72" i="15"/>
  <c r="A71" i="15"/>
  <c r="A70" i="15"/>
  <c r="A69" i="15"/>
  <c r="A68" i="15"/>
  <c r="A67" i="15"/>
  <c r="A66" i="15"/>
  <c r="A65" i="15"/>
  <c r="A64" i="15"/>
  <c r="A63" i="15"/>
  <c r="A62" i="15"/>
  <c r="A61" i="15"/>
  <c r="A60" i="15"/>
  <c r="A59" i="15"/>
  <c r="A58" i="15"/>
  <c r="A57" i="15"/>
  <c r="A56" i="15"/>
  <c r="A55" i="15"/>
  <c r="A54" i="15"/>
  <c r="A53" i="15"/>
  <c r="A52" i="15"/>
  <c r="A51" i="15"/>
  <c r="A50" i="15"/>
  <c r="A49" i="15"/>
  <c r="A48" i="15"/>
  <c r="A47" i="15"/>
  <c r="A46" i="15"/>
  <c r="A45" i="15"/>
  <c r="A44" i="15"/>
  <c r="A43" i="15"/>
  <c r="A42" i="15"/>
  <c r="A41" i="15"/>
  <c r="A40" i="15"/>
  <c r="A39" i="15"/>
  <c r="A38" i="15"/>
  <c r="A37" i="15"/>
  <c r="A36" i="15"/>
  <c r="A35" i="15"/>
  <c r="A34" i="15"/>
  <c r="A33" i="15"/>
  <c r="A32" i="15"/>
  <c r="A31" i="15"/>
  <c r="A30" i="15"/>
  <c r="A29" i="15"/>
  <c r="A28" i="15"/>
  <c r="A27" i="15"/>
  <c r="A26" i="15"/>
  <c r="A25" i="15"/>
  <c r="A24" i="15"/>
  <c r="A23" i="15"/>
  <c r="A22" i="15"/>
  <c r="A21" i="15"/>
  <c r="A20" i="15"/>
  <c r="A19" i="15"/>
  <c r="A18" i="15"/>
  <c r="A17" i="15"/>
  <c r="A16" i="15"/>
  <c r="A13" i="15"/>
  <c r="A9" i="15"/>
  <c r="A8" i="15"/>
  <c r="A7" i="15"/>
  <c r="A6" i="15"/>
  <c r="A5" i="15"/>
  <c r="A4" i="15"/>
  <c r="A3" i="15"/>
  <c r="A2" i="15"/>
  <c r="D2" i="14" l="1" a="1"/>
  <c r="D2" i="14" s="1"/>
  <c r="G2" i="14" l="1"/>
  <c r="F2" i="14"/>
  <c r="E2" i="14"/>
  <c r="C13" i="14"/>
  <c r="C12" i="14"/>
  <c r="C11" i="14"/>
  <c r="C10" i="14"/>
  <c r="C9" i="14"/>
  <c r="C8" i="14"/>
  <c r="C7" i="14"/>
  <c r="C6" i="14"/>
  <c r="C5" i="14"/>
  <c r="C4" i="14"/>
  <c r="C3" i="14"/>
  <c r="A13" i="14"/>
  <c r="B13" i="14" s="1"/>
  <c r="A12" i="14"/>
  <c r="B12" i="14" s="1"/>
  <c r="A11" i="14"/>
  <c r="B11" i="14" s="1"/>
  <c r="A10" i="14"/>
  <c r="B10" i="14" s="1"/>
  <c r="A9" i="14"/>
  <c r="B9" i="14" s="1"/>
  <c r="A8" i="14"/>
  <c r="B8" i="14" s="1"/>
  <c r="A7" i="14"/>
  <c r="B7" i="14" s="1"/>
  <c r="A6" i="14"/>
  <c r="B6" i="14" s="1"/>
  <c r="A5" i="14"/>
  <c r="B5" i="14" s="1"/>
  <c r="A4" i="14"/>
  <c r="B4" i="14" s="1"/>
  <c r="A3" i="14"/>
  <c r="B3" i="14" s="1"/>
  <c r="G14" i="14" l="1"/>
  <c r="D14" i="14"/>
  <c r="E14" i="14"/>
  <c r="F14" i="14"/>
  <c r="B14" i="14"/>
  <c r="E5" i="10"/>
  <c r="F5" i="10" s="1"/>
  <c r="G5" i="10" s="1"/>
  <c r="H5" i="10" s="1"/>
  <c r="I5" i="10" s="1"/>
  <c r="J5" i="10" s="1"/>
  <c r="K5" i="10" s="1"/>
  <c r="L5" i="10" s="1"/>
  <c r="M5" i="10" s="1"/>
  <c r="N5" i="10" s="1"/>
  <c r="O5" i="10" s="1"/>
  <c r="P5" i="10" s="1"/>
  <c r="Q5" i="10" s="1"/>
  <c r="R5" i="10" s="1"/>
  <c r="S5" i="10" s="1"/>
  <c r="T5" i="10" s="1"/>
  <c r="U5" i="10" s="1"/>
  <c r="V5" i="10" s="1"/>
  <c r="W5" i="10" s="1"/>
  <c r="X5" i="10" s="1"/>
  <c r="Y5" i="10" s="1"/>
  <c r="Z5" i="10" s="1"/>
  <c r="AA5" i="10" s="1"/>
  <c r="AB5" i="10" s="1"/>
  <c r="E11" i="13" l="1"/>
  <c r="E10" i="13"/>
  <c r="E9" i="13"/>
  <c r="E8" i="13"/>
  <c r="E7" i="13"/>
  <c r="E6" i="13"/>
  <c r="E5" i="13"/>
  <c r="E4" i="13"/>
  <c r="E3" i="13"/>
  <c r="E2" i="13"/>
  <c r="A29" i="4" l="1"/>
  <c r="B29" i="4" s="1"/>
  <c r="A28" i="4"/>
  <c r="B28" i="4" s="1"/>
  <c r="A27" i="4"/>
  <c r="B27" i="4" s="1"/>
  <c r="A39" i="4"/>
  <c r="B39" i="4" s="1"/>
  <c r="A38" i="4"/>
  <c r="B38" i="4" s="1"/>
  <c r="A37" i="4"/>
  <c r="B37" i="4" s="1"/>
  <c r="A40" i="4"/>
  <c r="B40" i="4" s="1"/>
  <c r="A33" i="4"/>
  <c r="B33" i="4" s="1"/>
  <c r="A34" i="4"/>
  <c r="B34" i="4" s="1"/>
  <c r="A32" i="4"/>
  <c r="B32" i="4" s="1"/>
  <c r="A31" i="4"/>
  <c r="B31" i="4" s="1"/>
  <c r="A30" i="4"/>
  <c r="B30" i="4" s="1"/>
  <c r="A25" i="4"/>
  <c r="B25" i="4" s="1"/>
  <c r="A26" i="4"/>
  <c r="B26" i="4" s="1"/>
  <c r="A24" i="4"/>
  <c r="B24" i="4" s="1"/>
  <c r="A23" i="4"/>
  <c r="B23" i="4" s="1"/>
  <c r="A22" i="4"/>
  <c r="B22" i="4" s="1"/>
  <c r="V6" i="1"/>
  <c r="U6" i="1"/>
  <c r="T6" i="1"/>
  <c r="S6" i="1"/>
  <c r="R6" i="1"/>
  <c r="Q6" i="1"/>
  <c r="P6" i="1"/>
  <c r="O6" i="1"/>
  <c r="N6" i="1"/>
  <c r="M6" i="1"/>
  <c r="L6" i="1"/>
  <c r="K6" i="1"/>
  <c r="J6" i="1"/>
  <c r="I6" i="1"/>
  <c r="H6" i="1"/>
  <c r="G6" i="1"/>
  <c r="F6" i="1"/>
  <c r="E6" i="1"/>
  <c r="D6" i="1"/>
  <c r="C6" i="1"/>
  <c r="V5" i="1"/>
  <c r="U5" i="1"/>
  <c r="T5" i="1"/>
  <c r="S5" i="1"/>
  <c r="R5" i="1"/>
  <c r="Q5" i="1"/>
  <c r="P5" i="1"/>
  <c r="O5" i="1"/>
  <c r="N5" i="1"/>
  <c r="M5" i="1"/>
  <c r="L5" i="1"/>
  <c r="K5" i="1"/>
  <c r="J5" i="1"/>
  <c r="I5" i="1"/>
  <c r="H5" i="1"/>
  <c r="G5" i="1"/>
  <c r="F5" i="1"/>
  <c r="E5" i="1"/>
  <c r="D5" i="1"/>
  <c r="C5" i="1"/>
  <c r="A47" i="4"/>
  <c r="B47" i="4" s="1"/>
  <c r="A36" i="4"/>
  <c r="B36" i="4" s="1"/>
  <c r="A21" i="4" l="1"/>
  <c r="B21" i="4" s="1"/>
  <c r="A20" i="4"/>
  <c r="B20" i="4" s="1"/>
  <c r="A11" i="4"/>
  <c r="B11" i="4" s="1"/>
  <c r="A16" i="4"/>
  <c r="B16" i="4" s="1"/>
  <c r="A15" i="4"/>
  <c r="B15" i="4" s="1"/>
  <c r="A10" i="4"/>
  <c r="B10" i="4" s="1"/>
  <c r="A9" i="4"/>
  <c r="B9" i="4" s="1"/>
  <c r="P13" i="1"/>
  <c r="O13" i="1"/>
  <c r="P12" i="1"/>
  <c r="O12" i="1"/>
  <c r="P11" i="1"/>
  <c r="O11" i="1"/>
  <c r="P10" i="1"/>
  <c r="O10" i="1"/>
  <c r="P9" i="1"/>
  <c r="O9" i="1"/>
  <c r="P8" i="1"/>
  <c r="O8" i="1"/>
  <c r="P7" i="1"/>
  <c r="O7" i="1"/>
  <c r="P4" i="1"/>
  <c r="O4" i="1"/>
  <c r="P3" i="1"/>
  <c r="O3" i="1"/>
  <c r="A4" i="4" l="1"/>
  <c r="B4" i="4" s="1"/>
  <c r="F13" i="6" l="1"/>
  <c r="F12" i="6"/>
  <c r="F11" i="6"/>
  <c r="F10" i="6"/>
  <c r="F9" i="6"/>
  <c r="F8" i="6"/>
  <c r="F7" i="6"/>
  <c r="F6" i="6"/>
  <c r="F5" i="6"/>
  <c r="F4" i="6"/>
  <c r="F3" i="6" l="1"/>
  <c r="A9" i="10" l="1"/>
  <c r="A8" i="10"/>
  <c r="A7" i="10"/>
  <c r="C2" i="15" s="1"/>
  <c r="A80" i="10"/>
  <c r="A79" i="10"/>
  <c r="A78" i="10"/>
  <c r="A77" i="10"/>
  <c r="A76" i="10"/>
  <c r="A75" i="10"/>
  <c r="A74" i="10"/>
  <c r="A73" i="10"/>
  <c r="A72" i="10"/>
  <c r="A71" i="10"/>
  <c r="A70" i="10"/>
  <c r="A69" i="10"/>
  <c r="A68" i="10"/>
  <c r="A67" i="10"/>
  <c r="A66" i="10"/>
  <c r="A65" i="10"/>
  <c r="A64" i="10"/>
  <c r="A63" i="10"/>
  <c r="A62" i="10"/>
  <c r="A61" i="10"/>
  <c r="A60" i="10"/>
  <c r="A59" i="10"/>
  <c r="A58" i="10"/>
  <c r="A57" i="10"/>
  <c r="A56" i="10"/>
  <c r="A55" i="10"/>
  <c r="A54" i="10"/>
  <c r="A53" i="10"/>
  <c r="A52" i="10"/>
  <c r="A51" i="10"/>
  <c r="A50" i="10"/>
  <c r="A49" i="10"/>
  <c r="A48" i="10"/>
  <c r="A47" i="10"/>
  <c r="A46" i="10"/>
  <c r="A45" i="10"/>
  <c r="A44" i="10"/>
  <c r="A43" i="10"/>
  <c r="A42" i="10"/>
  <c r="A41" i="10"/>
  <c r="A40" i="10"/>
  <c r="A39" i="10"/>
  <c r="A38" i="10"/>
  <c r="A37" i="10"/>
  <c r="A36" i="10"/>
  <c r="A35" i="10"/>
  <c r="A34" i="10"/>
  <c r="A33" i="10"/>
  <c r="A32" i="10"/>
  <c r="A31" i="10"/>
  <c r="A30" i="10"/>
  <c r="A29" i="10"/>
  <c r="A28" i="10"/>
  <c r="A27" i="10"/>
  <c r="A26" i="10"/>
  <c r="A25" i="10"/>
  <c r="A24" i="10"/>
  <c r="A23" i="10"/>
  <c r="A22" i="10"/>
  <c r="A21" i="10"/>
  <c r="A20" i="10"/>
  <c r="A19" i="10"/>
  <c r="A18" i="10"/>
  <c r="A17" i="10"/>
  <c r="A16" i="10"/>
  <c r="A15" i="10"/>
  <c r="A14" i="10"/>
  <c r="A13" i="10"/>
  <c r="A168" i="10"/>
  <c r="A167" i="10"/>
  <c r="A166" i="10"/>
  <c r="A165" i="10"/>
  <c r="A164" i="10"/>
  <c r="A163" i="10"/>
  <c r="A162" i="10"/>
  <c r="A161" i="10"/>
  <c r="A160" i="10"/>
  <c r="A159" i="10"/>
  <c r="A158" i="10"/>
  <c r="A157" i="10"/>
  <c r="A156" i="10"/>
  <c r="A155" i="10"/>
  <c r="A154" i="10"/>
  <c r="A153" i="10"/>
  <c r="A152" i="10"/>
  <c r="A151" i="10"/>
  <c r="A150" i="10"/>
  <c r="A149" i="10"/>
  <c r="A148" i="10"/>
  <c r="A147" i="10"/>
  <c r="A146" i="10"/>
  <c r="A145" i="10"/>
  <c r="A144" i="10"/>
  <c r="A143" i="10"/>
  <c r="A142" i="10"/>
  <c r="A141" i="10"/>
  <c r="A140" i="10"/>
  <c r="A139" i="10"/>
  <c r="A138" i="10"/>
  <c r="A137" i="10"/>
  <c r="A136" i="10"/>
  <c r="A135" i="10"/>
  <c r="A134" i="10"/>
  <c r="A133" i="10"/>
  <c r="A132" i="10"/>
  <c r="A131" i="10"/>
  <c r="A130" i="10"/>
  <c r="A129" i="10"/>
  <c r="A128" i="10"/>
  <c r="A127" i="10"/>
  <c r="A126" i="10"/>
  <c r="A125" i="10"/>
  <c r="A124" i="10"/>
  <c r="A123" i="10"/>
  <c r="A122" i="10"/>
  <c r="A121" i="10"/>
  <c r="A120" i="10"/>
  <c r="A119" i="10"/>
  <c r="A118" i="10"/>
  <c r="A117" i="10"/>
  <c r="A116" i="10"/>
  <c r="A115" i="10"/>
  <c r="A114" i="10"/>
  <c r="A113" i="10"/>
  <c r="A112" i="10"/>
  <c r="A111" i="10"/>
  <c r="A110" i="10"/>
  <c r="A109" i="10"/>
  <c r="A108" i="10"/>
  <c r="A107" i="10"/>
  <c r="A106" i="10"/>
  <c r="A105" i="10"/>
  <c r="A104" i="10"/>
  <c r="A103" i="10"/>
  <c r="A102" i="10"/>
  <c r="A101" i="10"/>
  <c r="A100" i="10"/>
  <c r="A99" i="10"/>
  <c r="A98" i="10"/>
  <c r="A97" i="10"/>
  <c r="A96" i="10"/>
  <c r="A95" i="10"/>
  <c r="A94" i="10"/>
  <c r="A93" i="10"/>
  <c r="A92" i="10"/>
  <c r="A91" i="10"/>
  <c r="A90" i="10"/>
  <c r="A89" i="10"/>
  <c r="A88" i="10"/>
  <c r="A87" i="10"/>
  <c r="A86" i="10"/>
  <c r="A85" i="10"/>
  <c r="A84" i="10"/>
  <c r="A83" i="10"/>
  <c r="A82" i="10"/>
  <c r="A81" i="10"/>
  <c r="C7" i="15" l="1"/>
  <c r="C18" i="15"/>
  <c r="C14" i="15"/>
  <c r="C10" i="15"/>
  <c r="C6" i="15"/>
  <c r="C21" i="15"/>
  <c r="C17" i="15"/>
  <c r="C13" i="15"/>
  <c r="C9" i="15"/>
  <c r="C5" i="15"/>
  <c r="C20" i="15"/>
  <c r="C16" i="15"/>
  <c r="C12" i="15"/>
  <c r="C8" i="15"/>
  <c r="C4" i="15"/>
  <c r="C19" i="15"/>
  <c r="C15" i="15"/>
  <c r="C11" i="15"/>
  <c r="C281" i="15"/>
  <c r="C277" i="15"/>
  <c r="C273" i="15"/>
  <c r="C269" i="15"/>
  <c r="C265" i="15"/>
  <c r="C261" i="15"/>
  <c r="C257" i="15"/>
  <c r="C253" i="15"/>
  <c r="C249" i="15"/>
  <c r="C245" i="15"/>
  <c r="C241" i="15"/>
  <c r="C237" i="15"/>
  <c r="C280" i="15"/>
  <c r="C279" i="15"/>
  <c r="C275" i="15"/>
  <c r="C271" i="15"/>
  <c r="C267" i="15"/>
  <c r="C263" i="15"/>
  <c r="C259" i="15"/>
  <c r="C255" i="15"/>
  <c r="C251" i="15"/>
  <c r="C247" i="15"/>
  <c r="C243" i="15"/>
  <c r="C239" i="15"/>
  <c r="C235" i="15"/>
  <c r="C231" i="15"/>
  <c r="C227" i="15"/>
  <c r="C223" i="15"/>
  <c r="C219" i="15"/>
  <c r="C215" i="15"/>
  <c r="C211" i="15"/>
  <c r="C207" i="15"/>
  <c r="C203" i="15"/>
  <c r="C199" i="15"/>
  <c r="C195" i="15"/>
  <c r="C191" i="15"/>
  <c r="C187" i="15"/>
  <c r="C183" i="15"/>
  <c r="C179" i="15"/>
  <c r="C175" i="15"/>
  <c r="C171" i="15"/>
  <c r="C167" i="15"/>
  <c r="C163" i="15"/>
  <c r="C159" i="15"/>
  <c r="C155" i="15"/>
  <c r="C151" i="15"/>
  <c r="C147" i="15"/>
  <c r="C143" i="15"/>
  <c r="C139" i="15"/>
  <c r="C135" i="15"/>
  <c r="C131" i="15"/>
  <c r="C127" i="15"/>
  <c r="C123" i="15"/>
  <c r="C119" i="15"/>
  <c r="C115" i="15"/>
  <c r="C111" i="15"/>
  <c r="C107" i="15"/>
  <c r="C103" i="15"/>
  <c r="C99" i="15"/>
  <c r="C95" i="15"/>
  <c r="C91" i="15"/>
  <c r="C87" i="15"/>
  <c r="C83" i="15"/>
  <c r="C79" i="15"/>
  <c r="C75" i="15"/>
  <c r="C71" i="15"/>
  <c r="C67" i="15"/>
  <c r="C63" i="15"/>
  <c r="C59" i="15"/>
  <c r="C55" i="15"/>
  <c r="C51" i="15"/>
  <c r="C47" i="15"/>
  <c r="C43" i="15"/>
  <c r="C39" i="15"/>
  <c r="C35" i="15"/>
  <c r="C31" i="15"/>
  <c r="C27" i="15"/>
  <c r="C23" i="15"/>
  <c r="C278" i="15"/>
  <c r="C274" i="15"/>
  <c r="C270" i="15"/>
  <c r="C266" i="15"/>
  <c r="C262" i="15"/>
  <c r="C258" i="15"/>
  <c r="C254" i="15"/>
  <c r="C250" i="15"/>
  <c r="C246" i="15"/>
  <c r="C242" i="15"/>
  <c r="C238" i="15"/>
  <c r="C234" i="15"/>
  <c r="C230" i="15"/>
  <c r="C226" i="15"/>
  <c r="C222" i="15"/>
  <c r="C218" i="15"/>
  <c r="C214" i="15"/>
  <c r="C210" i="15"/>
  <c r="C206" i="15"/>
  <c r="C202" i="15"/>
  <c r="C276" i="15"/>
  <c r="C260" i="15"/>
  <c r="C244" i="15"/>
  <c r="C232" i="15"/>
  <c r="C224" i="15"/>
  <c r="C216" i="15"/>
  <c r="C208" i="15"/>
  <c r="C200" i="15"/>
  <c r="C194" i="15"/>
  <c r="C189" i="15"/>
  <c r="C184" i="15"/>
  <c r="C178" i="15"/>
  <c r="C173" i="15"/>
  <c r="C168" i="15"/>
  <c r="C162" i="15"/>
  <c r="C157" i="15"/>
  <c r="C152" i="15"/>
  <c r="C146" i="15"/>
  <c r="C141" i="15"/>
  <c r="C136" i="15"/>
  <c r="C130" i="15"/>
  <c r="C125" i="15"/>
  <c r="C120" i="15"/>
  <c r="C114" i="15"/>
  <c r="C109" i="15"/>
  <c r="C104" i="15"/>
  <c r="C98" i="15"/>
  <c r="C93" i="15"/>
  <c r="C88" i="15"/>
  <c r="C82" i="15"/>
  <c r="C77" i="15"/>
  <c r="C72" i="15"/>
  <c r="C66" i="15"/>
  <c r="C61" i="15"/>
  <c r="C56" i="15"/>
  <c r="C50" i="15"/>
  <c r="C45" i="15"/>
  <c r="C40" i="15"/>
  <c r="C34" i="15"/>
  <c r="C29" i="15"/>
  <c r="C24" i="15"/>
  <c r="C272" i="15"/>
  <c r="C256" i="15"/>
  <c r="C240" i="15"/>
  <c r="C229" i="15"/>
  <c r="C221" i="15"/>
  <c r="C213" i="15"/>
  <c r="C205" i="15"/>
  <c r="C198" i="15"/>
  <c r="C193" i="15"/>
  <c r="C188" i="15"/>
  <c r="C182" i="15"/>
  <c r="C177" i="15"/>
  <c r="C172" i="15"/>
  <c r="C166" i="15"/>
  <c r="C161" i="15"/>
  <c r="C156" i="15"/>
  <c r="C150" i="15"/>
  <c r="C145" i="15"/>
  <c r="C140" i="15"/>
  <c r="C134" i="15"/>
  <c r="C129" i="15"/>
  <c r="C124" i="15"/>
  <c r="C118" i="15"/>
  <c r="C113" i="15"/>
  <c r="C108" i="15"/>
  <c r="C102" i="15"/>
  <c r="C97" i="15"/>
  <c r="C92" i="15"/>
  <c r="C86" i="15"/>
  <c r="C81" i="15"/>
  <c r="C76" i="15"/>
  <c r="C70" i="15"/>
  <c r="C65" i="15"/>
  <c r="C60" i="15"/>
  <c r="C54" i="15"/>
  <c r="C49" i="15"/>
  <c r="C44" i="15"/>
  <c r="C38" i="15"/>
  <c r="C33" i="15"/>
  <c r="C28" i="15"/>
  <c r="C22" i="15"/>
  <c r="C268" i="15"/>
  <c r="C252" i="15"/>
  <c r="C236" i="15"/>
  <c r="C264" i="15"/>
  <c r="C225" i="15"/>
  <c r="C209" i="15"/>
  <c r="C196" i="15"/>
  <c r="C185" i="15"/>
  <c r="C174" i="15"/>
  <c r="C164" i="15"/>
  <c r="C153" i="15"/>
  <c r="C142" i="15"/>
  <c r="C132" i="15"/>
  <c r="C121" i="15"/>
  <c r="C110" i="15"/>
  <c r="C100" i="15"/>
  <c r="C89" i="15"/>
  <c r="C78" i="15"/>
  <c r="C68" i="15"/>
  <c r="C57" i="15"/>
  <c r="C46" i="15"/>
  <c r="C36" i="15"/>
  <c r="C25" i="15"/>
  <c r="C233" i="15"/>
  <c r="C217" i="15"/>
  <c r="C201" i="15"/>
  <c r="C190" i="15"/>
  <c r="C169" i="15"/>
  <c r="C148" i="15"/>
  <c r="C126" i="15"/>
  <c r="C105" i="15"/>
  <c r="C84" i="15"/>
  <c r="C62" i="15"/>
  <c r="C41" i="15"/>
  <c r="C228" i="15"/>
  <c r="C212" i="15"/>
  <c r="C197" i="15"/>
  <c r="C186" i="15"/>
  <c r="C176" i="15"/>
  <c r="C165" i="15"/>
  <c r="C154" i="15"/>
  <c r="C144" i="15"/>
  <c r="C122" i="15"/>
  <c r="C101" i="15"/>
  <c r="C80" i="15"/>
  <c r="C58" i="15"/>
  <c r="C37" i="15"/>
  <c r="C248" i="15"/>
  <c r="C220" i="15"/>
  <c r="C204" i="15"/>
  <c r="C192" i="15"/>
  <c r="C181" i="15"/>
  <c r="C170" i="15"/>
  <c r="C160" i="15"/>
  <c r="C149" i="15"/>
  <c r="C138" i="15"/>
  <c r="C128" i="15"/>
  <c r="C117" i="15"/>
  <c r="C106" i="15"/>
  <c r="C96" i="15"/>
  <c r="C85" i="15"/>
  <c r="C74" i="15"/>
  <c r="C64" i="15"/>
  <c r="C53" i="15"/>
  <c r="C42" i="15"/>
  <c r="C32" i="15"/>
  <c r="C3" i="15"/>
  <c r="C180" i="15"/>
  <c r="C158" i="15"/>
  <c r="C137" i="15"/>
  <c r="C116" i="15"/>
  <c r="C94" i="15"/>
  <c r="C73" i="15"/>
  <c r="C52" i="15"/>
  <c r="C30" i="15"/>
  <c r="C133" i="15"/>
  <c r="C112" i="15"/>
  <c r="C90" i="15"/>
  <c r="C69" i="15"/>
  <c r="C48" i="15"/>
  <c r="C26" i="15"/>
  <c r="A53" i="4"/>
  <c r="B53" i="4" s="1"/>
  <c r="V13" i="1"/>
  <c r="U13" i="1"/>
  <c r="T13" i="1"/>
  <c r="S13" i="1"/>
  <c r="R13" i="1"/>
  <c r="Q13" i="1"/>
  <c r="N13" i="1"/>
  <c r="M13" i="1"/>
  <c r="L13" i="1"/>
  <c r="K13" i="1"/>
  <c r="J13" i="1"/>
  <c r="I13" i="1"/>
  <c r="H13" i="1"/>
  <c r="G13" i="1"/>
  <c r="F13" i="1"/>
  <c r="E13" i="1"/>
  <c r="D13" i="1"/>
  <c r="C13" i="1"/>
  <c r="V12" i="1"/>
  <c r="U12" i="1"/>
  <c r="T12" i="1"/>
  <c r="S12" i="1"/>
  <c r="R12" i="1"/>
  <c r="Q12" i="1"/>
  <c r="N12" i="1"/>
  <c r="M12" i="1"/>
  <c r="L12" i="1"/>
  <c r="K12" i="1"/>
  <c r="J12" i="1"/>
  <c r="I12" i="1"/>
  <c r="H12" i="1"/>
  <c r="G12" i="1"/>
  <c r="F12" i="1"/>
  <c r="E12" i="1"/>
  <c r="D12" i="1"/>
  <c r="C12" i="1"/>
  <c r="V11" i="1"/>
  <c r="U11" i="1"/>
  <c r="T11" i="1"/>
  <c r="S11" i="1"/>
  <c r="R11" i="1"/>
  <c r="Q11" i="1"/>
  <c r="N11" i="1"/>
  <c r="M11" i="1"/>
  <c r="L11" i="1"/>
  <c r="K11" i="1"/>
  <c r="J11" i="1"/>
  <c r="I11" i="1"/>
  <c r="H11" i="1"/>
  <c r="G11" i="1"/>
  <c r="F11" i="1"/>
  <c r="E11" i="1"/>
  <c r="D11" i="1"/>
  <c r="C11" i="1"/>
  <c r="V10" i="1"/>
  <c r="U10" i="1"/>
  <c r="T10" i="1"/>
  <c r="S10" i="1"/>
  <c r="R10" i="1"/>
  <c r="Q10" i="1"/>
  <c r="N10" i="1"/>
  <c r="M10" i="1"/>
  <c r="L10" i="1"/>
  <c r="K10" i="1"/>
  <c r="J10" i="1"/>
  <c r="I10" i="1"/>
  <c r="H10" i="1"/>
  <c r="G10" i="1"/>
  <c r="F10" i="1"/>
  <c r="E10" i="1"/>
  <c r="D10" i="1"/>
  <c r="C10" i="1"/>
  <c r="V9" i="1"/>
  <c r="U9" i="1"/>
  <c r="T9" i="1"/>
  <c r="S9" i="1"/>
  <c r="R9" i="1"/>
  <c r="Q9" i="1"/>
  <c r="N9" i="1"/>
  <c r="M9" i="1"/>
  <c r="L9" i="1"/>
  <c r="K9" i="1"/>
  <c r="J9" i="1"/>
  <c r="I9" i="1"/>
  <c r="H9" i="1"/>
  <c r="G9" i="1"/>
  <c r="F9" i="1"/>
  <c r="E9" i="1"/>
  <c r="D9" i="1"/>
  <c r="C9" i="1"/>
  <c r="V8" i="1"/>
  <c r="U8" i="1"/>
  <c r="T8" i="1"/>
  <c r="S8" i="1"/>
  <c r="R8" i="1"/>
  <c r="Q8" i="1"/>
  <c r="N8" i="1"/>
  <c r="M8" i="1"/>
  <c r="L8" i="1"/>
  <c r="K8" i="1"/>
  <c r="J8" i="1"/>
  <c r="I8" i="1"/>
  <c r="H8" i="1"/>
  <c r="G8" i="1"/>
  <c r="F8" i="1"/>
  <c r="E8" i="1"/>
  <c r="D8" i="1"/>
  <c r="C8" i="1"/>
  <c r="V7" i="1"/>
  <c r="U7" i="1"/>
  <c r="T7" i="1"/>
  <c r="S7" i="1"/>
  <c r="R7" i="1"/>
  <c r="Q7" i="1"/>
  <c r="N7" i="1"/>
  <c r="M7" i="1"/>
  <c r="L7" i="1"/>
  <c r="K7" i="1"/>
  <c r="J7" i="1"/>
  <c r="I7" i="1"/>
  <c r="H7" i="1"/>
  <c r="G7" i="1"/>
  <c r="F7" i="1"/>
  <c r="E7" i="1"/>
  <c r="D7" i="1"/>
  <c r="C7" i="1"/>
  <c r="V4" i="1"/>
  <c r="U4" i="1"/>
  <c r="T4" i="1"/>
  <c r="S4" i="1"/>
  <c r="R4" i="1"/>
  <c r="Q4" i="1"/>
  <c r="N4" i="1"/>
  <c r="M4" i="1"/>
  <c r="L4" i="1"/>
  <c r="K4" i="1"/>
  <c r="J4" i="1"/>
  <c r="I4" i="1"/>
  <c r="H4" i="1"/>
  <c r="G4" i="1"/>
  <c r="F4" i="1"/>
  <c r="E4" i="1"/>
  <c r="D4" i="1"/>
  <c r="C4" i="1"/>
  <c r="V3" i="1"/>
  <c r="U3" i="1"/>
  <c r="T3" i="1"/>
  <c r="S3" i="1"/>
  <c r="R3" i="1"/>
  <c r="Q3" i="1"/>
  <c r="N3" i="1"/>
  <c r="M3" i="1"/>
  <c r="L3" i="1"/>
  <c r="K3" i="1"/>
  <c r="J3" i="1"/>
  <c r="I3" i="1"/>
  <c r="H3" i="1"/>
  <c r="G3" i="1"/>
  <c r="F3" i="1"/>
  <c r="E3" i="1"/>
  <c r="D3" i="1"/>
  <c r="C3" i="1"/>
  <c r="A57" i="4" l="1"/>
  <c r="B57" i="4" s="1"/>
  <c r="A50" i="4"/>
  <c r="B50" i="4" s="1"/>
  <c r="A60" i="4"/>
  <c r="B60" i="4" s="1"/>
  <c r="A59" i="4"/>
  <c r="B59" i="4" s="1"/>
  <c r="A58" i="4"/>
  <c r="B58" i="4" s="1"/>
  <c r="A51" i="4"/>
  <c r="B51" i="4" s="1"/>
  <c r="A61" i="4" l="1"/>
  <c r="B61" i="4" s="1"/>
  <c r="A56" i="4"/>
  <c r="B56" i="4" s="1"/>
  <c r="A3" i="4"/>
  <c r="B3" i="4" s="1"/>
  <c r="A2" i="4"/>
  <c r="B2" i="4" l="1"/>
  <c r="A48" i="4"/>
  <c r="B48" i="4" s="1"/>
  <c r="A42" i="4" l="1"/>
  <c r="B42" i="4" s="1"/>
  <c r="A19" i="4" l="1"/>
  <c r="B19" i="4" s="1"/>
  <c r="A65" i="4" l="1"/>
  <c r="B65" i="4" s="1"/>
  <c r="A64" i="4"/>
  <c r="B64" i="4" s="1"/>
  <c r="A63" i="4"/>
  <c r="B63" i="4" s="1"/>
  <c r="A62" i="4"/>
  <c r="B62" i="4" s="1"/>
  <c r="A55" i="4"/>
  <c r="B55" i="4" s="1"/>
  <c r="A54" i="4"/>
  <c r="B54" i="4" s="1"/>
  <c r="A52" i="4"/>
  <c r="B52" i="4" s="1"/>
  <c r="A49" i="4"/>
  <c r="B49" i="4" s="1"/>
  <c r="A46" i="4"/>
  <c r="B46" i="4" s="1"/>
  <c r="A45" i="4"/>
  <c r="B45" i="4" s="1"/>
  <c r="A44" i="4"/>
  <c r="B44" i="4" s="1"/>
  <c r="A43" i="4"/>
  <c r="B43" i="4" s="1"/>
  <c r="A41" i="4"/>
  <c r="B41" i="4" s="1"/>
  <c r="A35" i="4"/>
  <c r="B35" i="4" s="1"/>
  <c r="A14" i="4"/>
  <c r="B14" i="4" s="1"/>
  <c r="A12" i="4" l="1"/>
  <c r="B12" i="4" s="1"/>
  <c r="A7" i="4"/>
  <c r="B7" i="4" s="1"/>
  <c r="A8" i="4"/>
  <c r="B8" i="4" s="1"/>
  <c r="A6" i="4"/>
  <c r="B6" i="4" s="1"/>
  <c r="A159" i="4"/>
  <c r="B159" i="4" s="1"/>
  <c r="A158" i="4"/>
  <c r="B158" i="4" s="1"/>
  <c r="A157" i="4"/>
  <c r="B157" i="4" s="1"/>
  <c r="A156" i="4"/>
  <c r="B156" i="4" s="1"/>
  <c r="A155" i="4"/>
  <c r="B155" i="4" s="1"/>
  <c r="A154" i="4"/>
  <c r="B154" i="4" s="1"/>
  <c r="A153" i="4"/>
  <c r="B153" i="4" s="1"/>
  <c r="A152" i="4"/>
  <c r="B152" i="4" s="1"/>
  <c r="A151" i="4"/>
  <c r="B151" i="4" s="1"/>
  <c r="A150" i="4"/>
  <c r="B150" i="4" s="1"/>
  <c r="A149" i="4"/>
  <c r="B149" i="4" s="1"/>
  <c r="A148" i="4"/>
  <c r="B148" i="4" s="1"/>
  <c r="A147" i="4"/>
  <c r="B147" i="4" s="1"/>
  <c r="A146" i="4"/>
  <c r="B146" i="4" s="1"/>
  <c r="A145" i="4"/>
  <c r="B145" i="4" s="1"/>
  <c r="A144" i="4"/>
  <c r="B144" i="4" s="1"/>
  <c r="A143" i="4"/>
  <c r="B143" i="4" s="1"/>
  <c r="A142" i="4"/>
  <c r="B142" i="4" s="1"/>
  <c r="A141" i="4"/>
  <c r="B141" i="4" s="1"/>
  <c r="A140" i="4"/>
  <c r="B140" i="4" s="1"/>
  <c r="A139" i="4"/>
  <c r="B139" i="4" s="1"/>
  <c r="A138" i="4"/>
  <c r="B138" i="4" s="1"/>
  <c r="A137" i="4"/>
  <c r="B137" i="4" s="1"/>
  <c r="A136" i="4"/>
  <c r="B136" i="4" s="1"/>
  <c r="A135" i="4"/>
  <c r="B135" i="4" s="1"/>
  <c r="A134" i="4"/>
  <c r="B134" i="4" s="1"/>
  <c r="A133" i="4"/>
  <c r="B133" i="4" s="1"/>
  <c r="A132" i="4"/>
  <c r="B132" i="4" s="1"/>
  <c r="A131" i="4"/>
  <c r="B131" i="4" s="1"/>
  <c r="A130" i="4"/>
  <c r="B130" i="4" s="1"/>
  <c r="A129" i="4"/>
  <c r="B129" i="4" s="1"/>
  <c r="A128" i="4"/>
  <c r="B128" i="4" s="1"/>
  <c r="A127" i="4"/>
  <c r="B127" i="4" s="1"/>
  <c r="A126" i="4"/>
  <c r="B126" i="4" s="1"/>
  <c r="A125" i="4"/>
  <c r="B125" i="4" s="1"/>
  <c r="A124" i="4"/>
  <c r="B124" i="4" s="1"/>
  <c r="A123" i="4"/>
  <c r="B123" i="4" s="1"/>
  <c r="A122" i="4"/>
  <c r="B122" i="4" s="1"/>
  <c r="A121" i="4"/>
  <c r="B121" i="4" s="1"/>
  <c r="A120" i="4"/>
  <c r="B120" i="4" s="1"/>
  <c r="A119" i="4"/>
  <c r="B119" i="4" s="1"/>
  <c r="A118" i="4"/>
  <c r="B118" i="4" s="1"/>
  <c r="A117" i="4"/>
  <c r="B117" i="4" s="1"/>
  <c r="A116" i="4"/>
  <c r="B116" i="4" s="1"/>
  <c r="A115" i="4"/>
  <c r="B115" i="4" s="1"/>
  <c r="A114" i="4"/>
  <c r="B114" i="4" s="1"/>
  <c r="A113" i="4"/>
  <c r="B113" i="4" s="1"/>
  <c r="A112" i="4"/>
  <c r="B112" i="4" s="1"/>
  <c r="A111" i="4"/>
  <c r="B111" i="4" s="1"/>
  <c r="A110" i="4"/>
  <c r="B110" i="4" s="1"/>
  <c r="A109" i="4"/>
  <c r="B109" i="4" s="1"/>
  <c r="A108" i="4"/>
  <c r="B108" i="4" s="1"/>
  <c r="A107" i="4"/>
  <c r="B107" i="4" s="1"/>
  <c r="A106" i="4"/>
  <c r="B106" i="4" s="1"/>
  <c r="A105" i="4"/>
  <c r="B105" i="4" s="1"/>
  <c r="A104" i="4"/>
  <c r="B104" i="4" s="1"/>
  <c r="A103" i="4"/>
  <c r="B103" i="4" s="1"/>
  <c r="A102" i="4"/>
  <c r="B102" i="4" s="1"/>
  <c r="A101" i="4"/>
  <c r="B101" i="4" s="1"/>
  <c r="A100" i="4"/>
  <c r="B100" i="4" s="1"/>
  <c r="A99" i="4"/>
  <c r="B99" i="4" s="1"/>
  <c r="A98" i="4"/>
  <c r="B98" i="4" s="1"/>
  <c r="A97" i="4"/>
  <c r="B97" i="4" s="1"/>
  <c r="A96" i="4"/>
  <c r="B96" i="4" s="1"/>
  <c r="A95" i="4"/>
  <c r="B95" i="4" s="1"/>
  <c r="A94" i="4"/>
  <c r="B94" i="4" s="1"/>
  <c r="A93" i="4"/>
  <c r="B93" i="4" s="1"/>
  <c r="A92" i="4"/>
  <c r="B92" i="4" s="1"/>
  <c r="A91" i="4"/>
  <c r="B91" i="4" s="1"/>
  <c r="A90" i="4"/>
  <c r="B90" i="4" s="1"/>
  <c r="A89" i="4"/>
  <c r="B89" i="4" s="1"/>
  <c r="A88" i="4"/>
  <c r="B88" i="4" s="1"/>
  <c r="A87" i="4"/>
  <c r="B87" i="4" s="1"/>
  <c r="A86" i="4"/>
  <c r="B86" i="4" s="1"/>
  <c r="A85" i="4"/>
  <c r="B85" i="4" s="1"/>
  <c r="A84" i="4"/>
  <c r="B84" i="4" s="1"/>
  <c r="A83" i="4"/>
  <c r="B83" i="4" s="1"/>
  <c r="A82" i="4"/>
  <c r="B82" i="4" s="1"/>
  <c r="A81" i="4"/>
  <c r="B81" i="4" s="1"/>
  <c r="A80" i="4"/>
  <c r="B80" i="4" s="1"/>
  <c r="A79" i="4"/>
  <c r="B79" i="4" s="1"/>
  <c r="A78" i="4"/>
  <c r="B78" i="4" s="1"/>
  <c r="A77" i="4"/>
  <c r="B77" i="4" s="1"/>
  <c r="A76" i="4"/>
  <c r="B76" i="4" s="1"/>
  <c r="A75" i="4"/>
  <c r="B75" i="4" s="1"/>
  <c r="A74" i="4"/>
  <c r="B74" i="4" s="1"/>
  <c r="A73" i="4"/>
  <c r="B73" i="4" s="1"/>
  <c r="A72" i="4"/>
  <c r="B72" i="4" s="1"/>
  <c r="A71" i="4"/>
  <c r="B71" i="4" s="1"/>
  <c r="A70" i="4"/>
  <c r="B70" i="4" s="1"/>
  <c r="A69" i="4"/>
  <c r="B69" i="4" s="1"/>
  <c r="A68" i="4"/>
  <c r="B68" i="4" s="1"/>
  <c r="A67" i="4"/>
  <c r="B67" i="4" s="1"/>
  <c r="A66" i="4"/>
  <c r="B66" i="4" s="1"/>
  <c r="A18" i="4"/>
  <c r="B18" i="4" s="1"/>
  <c r="A17" i="4"/>
  <c r="B17" i="4" s="1"/>
  <c r="A13" i="4"/>
  <c r="B13" i="4" s="1"/>
  <c r="A5" i="4"/>
  <c r="B5" i="4" l="1"/>
  <c r="B7" i="5"/>
  <c r="B6" i="5"/>
  <c r="B3" i="5" l="1"/>
  <c r="B4" i="5"/>
  <c r="B10" i="5"/>
  <c r="B9" i="5" l="1"/>
  <c r="A9" i="5"/>
  <c r="A10" i="5" l="1"/>
  <c r="B17" i="5"/>
  <c r="B16" i="5"/>
  <c r="B14" i="5"/>
  <c r="B12" i="5"/>
  <c r="B13"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C2" authorId="0" shapeId="0" xr:uid="{00000000-0006-0000-0000-000001000000}">
      <text>
        <r>
          <rPr>
            <b/>
            <sz val="9"/>
            <color indexed="81"/>
            <rFont val="Segoe UI"/>
            <family val="2"/>
          </rPr>
          <t>Autor:</t>
        </r>
        <r>
          <rPr>
            <sz val="9"/>
            <color indexed="81"/>
            <rFont val="Segoe UI"/>
            <family val="2"/>
          </rPr>
          <t xml:space="preserve">
Safety primarily means protecting a person against harm. It includes also the subjective feeling of "being well protected". </t>
        </r>
      </text>
    </comment>
    <comment ref="E2" authorId="0" shapeId="0" xr:uid="{00000000-0006-0000-0000-000002000000}">
      <text>
        <r>
          <rPr>
            <b/>
            <sz val="9"/>
            <color indexed="81"/>
            <rFont val="Segoe UI"/>
            <family val="2"/>
          </rPr>
          <t>Autor:</t>
        </r>
        <r>
          <rPr>
            <sz val="9"/>
            <color indexed="81"/>
            <rFont val="Segoe UI"/>
            <family val="2"/>
          </rPr>
          <t xml:space="preserve">
Care is given and decisions and responsibility are taken on behalf of the other – the one in need – to the extent that that person is no longer able to do these things themselves.</t>
        </r>
      </text>
    </comment>
    <comment ref="G2" authorId="0" shapeId="0" xr:uid="{00000000-0006-0000-0000-000003000000}">
      <text>
        <r>
          <rPr>
            <b/>
            <sz val="9"/>
            <color indexed="81"/>
            <rFont val="Segoe UI"/>
            <family val="2"/>
          </rPr>
          <t>Autor:</t>
        </r>
        <r>
          <rPr>
            <sz val="9"/>
            <color indexed="81"/>
            <rFont val="Segoe UI"/>
            <family val="2"/>
          </rPr>
          <t xml:space="preserve">
The term autonomy […] is nowadays often equated with an individual’s maximum freedom of decision and action.</t>
        </r>
      </text>
    </comment>
    <comment ref="I2" authorId="0" shapeId="0" xr:uid="{00000000-0006-0000-0000-000004000000}">
      <text>
        <r>
          <rPr>
            <b/>
            <sz val="9"/>
            <color indexed="81"/>
            <rFont val="Segoe UI"/>
            <family val="2"/>
          </rPr>
          <t>Autor:</t>
        </r>
        <r>
          <rPr>
            <sz val="9"/>
            <color indexed="81"/>
            <rFont val="Segoe UI"/>
            <family val="2"/>
          </rPr>
          <t xml:space="preserve">
Participation […] means providing people with access, rights, services, and assets that enable them to live together with other people in society.</t>
        </r>
      </text>
    </comment>
    <comment ref="K2" authorId="0" shapeId="0" xr:uid="{00000000-0006-0000-0000-000005000000}">
      <text>
        <r>
          <rPr>
            <b/>
            <sz val="9"/>
            <color indexed="81"/>
            <rFont val="Segoe UI"/>
            <family val="2"/>
          </rPr>
          <t>Autor:</t>
        </r>
        <r>
          <rPr>
            <sz val="9"/>
            <color indexed="81"/>
            <rFont val="Segoe UI"/>
            <family val="2"/>
          </rPr>
          <t xml:space="preserve">
(1) Transparency: inform data subject about data use. 
(2) Purpose limitation / minimization: Store as few data as possible, and use it only for its dedicated purpose. 
(3) Integrity: prevent unauthorized access. 
(4) The right to be forgotten.</t>
        </r>
      </text>
    </comment>
    <comment ref="M2" authorId="0" shapeId="0" xr:uid="{00000000-0006-0000-0000-000006000000}">
      <text>
        <r>
          <rPr>
            <b/>
            <sz val="9"/>
            <color indexed="81"/>
            <rFont val="Segoe UI"/>
            <family val="2"/>
          </rPr>
          <t>Autor:</t>
        </r>
        <r>
          <rPr>
            <sz val="9"/>
            <color indexed="81"/>
            <rFont val="Segoe UI"/>
            <family val="2"/>
          </rPr>
          <t xml:space="preserve">
Fairness means that the same standards are applied to everyone, and that ressources are provided according to degree of neediness. </t>
        </r>
      </text>
    </comment>
    <comment ref="O2" authorId="0" shapeId="0" xr:uid="{00000000-0006-0000-0000-000007000000}">
      <text>
        <r>
          <rPr>
            <b/>
            <sz val="9"/>
            <color indexed="81"/>
            <rFont val="Segoe UI"/>
            <family val="2"/>
          </rPr>
          <t>Autor:</t>
        </r>
        <r>
          <rPr>
            <sz val="9"/>
            <color indexed="81"/>
            <rFont val="Segoe UI"/>
            <family val="2"/>
          </rPr>
          <t xml:space="preserve">
A persons' freedom to evaluate and perceive herself according to her own personal mental model. Strongly related is the perceived self-efficacy, the expectation to successfully carry out intended acts based on one's competences. </t>
        </r>
      </text>
    </comment>
    <comment ref="Q2" authorId="0" shapeId="0" xr:uid="{00000000-0006-0000-0000-000008000000}">
      <text>
        <r>
          <rPr>
            <b/>
            <sz val="9"/>
            <color indexed="81"/>
            <rFont val="Segoe UI"/>
            <family val="2"/>
          </rPr>
          <t>Autor:</t>
        </r>
        <r>
          <rPr>
            <sz val="9"/>
            <color indexed="81"/>
            <rFont val="Segoe UI"/>
            <family val="2"/>
          </rPr>
          <t xml:space="preserve">
Does the system save effort (time, money, responsibilities, …), or does it require additional resources for its operation (compared to a situation without the system)?</t>
        </r>
      </text>
    </comment>
    <comment ref="S2" authorId="0" shapeId="0" xr:uid="{00000000-0006-0000-0000-000009000000}">
      <text>
        <r>
          <rPr>
            <b/>
            <sz val="9"/>
            <color indexed="81"/>
            <rFont val="Segoe UI"/>
            <family val="2"/>
          </rPr>
          <t>Autor:</t>
        </r>
        <r>
          <rPr>
            <sz val="9"/>
            <color indexed="81"/>
            <rFont val="Segoe UI"/>
            <family val="2"/>
          </rPr>
          <t xml:space="preserve">
Profitability means an organisation's ability to fund its operations and strategic development out of its revenues. </t>
        </r>
      </text>
    </comment>
    <comment ref="U2" authorId="0" shapeId="0" xr:uid="{00000000-0006-0000-0000-00000A000000}">
      <text>
        <r>
          <rPr>
            <b/>
            <sz val="9"/>
            <color indexed="81"/>
            <rFont val="Segoe UI"/>
            <family val="2"/>
          </rPr>
          <t>Autor:</t>
        </r>
        <r>
          <rPr>
            <sz val="9"/>
            <color indexed="81"/>
            <rFont val="Segoe UI"/>
            <family val="2"/>
          </rPr>
          <t xml:space="preserve">
Opportunity describes an organisation's ability and position to drive innovation, expand its market share, improve customer loyalty, or pursue any other strategic goals.</t>
        </r>
      </text>
    </comment>
    <comment ref="A5" authorId="0" shapeId="0" xr:uid="{00000000-0006-0000-0000-00000B000000}">
      <text>
        <r>
          <rPr>
            <b/>
            <sz val="9"/>
            <color indexed="81"/>
            <rFont val="Segoe UI"/>
            <family val="2"/>
          </rPr>
          <t>Autor:</t>
        </r>
        <r>
          <rPr>
            <sz val="9"/>
            <color indexed="81"/>
            <rFont val="Segoe UI"/>
            <family val="2"/>
          </rPr>
          <t xml:space="preserve">
Employees in locations with an alert button. For instance, a nurse, a doctor's assistant, or shop assistant.
</t>
        </r>
      </text>
    </comment>
    <comment ref="A6" authorId="0" shapeId="0" xr:uid="{00000000-0006-0000-0000-00000C000000}">
      <text>
        <r>
          <rPr>
            <b/>
            <sz val="9"/>
            <color indexed="81"/>
            <rFont val="Segoe UI"/>
            <family val="2"/>
          </rPr>
          <t>Autor:</t>
        </r>
        <r>
          <rPr>
            <sz val="9"/>
            <color indexed="81"/>
            <rFont val="Segoe UI"/>
            <family val="2"/>
          </rPr>
          <t xml:space="preserve">
E.g. a medical practice, a café, or a bakery.</t>
        </r>
      </text>
    </comment>
    <comment ref="A9" authorId="0" shapeId="0" xr:uid="{00000000-0006-0000-0000-00000D000000}">
      <text>
        <r>
          <rPr>
            <b/>
            <sz val="9"/>
            <color indexed="81"/>
            <rFont val="Segoe UI"/>
            <family val="2"/>
          </rPr>
          <t>Autor:</t>
        </r>
        <r>
          <rPr>
            <sz val="9"/>
            <color indexed="81"/>
            <rFont val="Segoe UI"/>
            <family val="2"/>
          </rPr>
          <t xml:space="preserve">
(as an organisation required to operate in a profitable or at least cost-covering manner)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F2" authorId="0" shapeId="0" xr:uid="{00000000-0006-0000-0100-000001000000}">
      <text>
        <r>
          <rPr>
            <sz val="9"/>
            <color indexed="81"/>
            <rFont val="Segoe UI"/>
            <family val="2"/>
          </rPr>
          <t xml:space="preserve">Safety primarily means protecting a person against harm. It includes also the subjective feeling of "being well protected". </t>
        </r>
      </text>
    </comment>
    <comment ref="F3" authorId="0" shapeId="0" xr:uid="{00000000-0006-0000-0100-000002000000}">
      <text>
        <r>
          <rPr>
            <sz val="9"/>
            <color indexed="81"/>
            <rFont val="Segoe UI"/>
            <family val="2"/>
          </rPr>
          <t xml:space="preserve">Safety primarily means protecting a person against harm. It includes also the subjective feeling of "being well protected". </t>
        </r>
      </text>
    </comment>
    <comment ref="C4" authorId="0" shapeId="0" xr:uid="{00000000-0006-0000-0100-000003000000}">
      <text>
        <r>
          <rPr>
            <sz val="9"/>
            <color indexed="81"/>
            <rFont val="Segoe UI"/>
            <family val="2"/>
          </rPr>
          <t>Person suffering from dementia lives in in a nursing home</t>
        </r>
      </text>
    </comment>
    <comment ref="D4" authorId="0" shapeId="0" xr:uid="{00000000-0006-0000-0100-000004000000}">
      <text>
        <r>
          <rPr>
            <sz val="9"/>
            <color indexed="81"/>
            <rFont val="Segoe UI"/>
            <family val="2"/>
          </rPr>
          <t>ILA operates as part of a home emergency call service</t>
        </r>
      </text>
    </comment>
    <comment ref="F4" authorId="0" shapeId="0" xr:uid="{00000000-0006-0000-0100-000005000000}">
      <text>
        <r>
          <rPr>
            <sz val="9"/>
            <color indexed="81"/>
            <rFont val="Segoe UI"/>
            <family val="2"/>
          </rPr>
          <t>Care is given and decisions and responsibility are taken on behalf of the other – the one in need – to the extent that that person is no longer able to do these things themselves [...].</t>
        </r>
      </text>
    </comment>
    <comment ref="F5" authorId="0" shapeId="0" xr:uid="{00000000-0006-0000-0100-000006000000}">
      <text>
        <r>
          <rPr>
            <sz val="9"/>
            <color indexed="81"/>
            <rFont val="Segoe UI"/>
            <family val="2"/>
          </rPr>
          <t>The term autonomy […] is nowadays often equated with an individual’s maximum freedom of decision and action.</t>
        </r>
      </text>
    </comment>
    <comment ref="F6" authorId="0" shapeId="0" xr:uid="{00000000-0006-0000-0100-000007000000}">
      <text>
        <r>
          <rPr>
            <sz val="9"/>
            <color indexed="81"/>
            <rFont val="Segoe UI"/>
            <family val="2"/>
          </rPr>
          <t>The term autonomy […] is nowadays often equated with an individual’s maximum freedom of decision and action.</t>
        </r>
      </text>
    </comment>
    <comment ref="F7" authorId="0" shapeId="0" xr:uid="{00000000-0006-0000-0100-000008000000}">
      <text>
        <r>
          <rPr>
            <sz val="9"/>
            <color indexed="81"/>
            <rFont val="Segoe UI"/>
            <family val="2"/>
          </rPr>
          <t>Participation […] means providing people with access, rights, services, and assets that enable them to live together with other people in society.</t>
        </r>
      </text>
    </comment>
    <comment ref="F8" authorId="0" shapeId="0" xr:uid="{00000000-0006-0000-0100-000009000000}">
      <text>
        <r>
          <rPr>
            <sz val="9"/>
            <color indexed="81"/>
            <rFont val="Segoe UI"/>
            <family val="2"/>
          </rPr>
          <t>(1) Transparency: inform data subject about data use. (2) Purpose limitation / minimization: Store as few data as possible, and use it only for its dedicated purpose. (3) Integrity: prevent unauthorized access. (4) The right to be forgotten.</t>
        </r>
      </text>
    </comment>
    <comment ref="F9" authorId="0" shapeId="0" xr:uid="{00000000-0006-0000-0100-00000A000000}">
      <text>
        <r>
          <rPr>
            <sz val="9"/>
            <color indexed="81"/>
            <rFont val="Segoe UI"/>
            <family val="2"/>
          </rPr>
          <t>(1) Transparency: inform data subject about data use. (2) Purpose limitation / minimization: Store as few data as possible, and use it only for its dedicated purpose. (3) Integrity: prevent unauthorized access. (4) The right to be forgotten.</t>
        </r>
      </text>
    </comment>
    <comment ref="F10" authorId="0" shapeId="0" xr:uid="{00000000-0006-0000-0100-00000B000000}">
      <text>
        <r>
          <rPr>
            <sz val="9"/>
            <color indexed="81"/>
            <rFont val="Segoe UI"/>
            <family val="2"/>
          </rPr>
          <t>(1) Transparency: inform data subject about data use. (2) Purpose limitation / minimization: Store as few data as possible, and use it only for its dedicated purpose. (3) Integrity: prevent unauthorized access. (4) The right to be forgotten.</t>
        </r>
      </text>
    </comment>
    <comment ref="F11" authorId="0" shapeId="0" xr:uid="{00000000-0006-0000-0100-00000C000000}">
      <text>
        <r>
          <rPr>
            <sz val="9"/>
            <color indexed="81"/>
            <rFont val="Segoe UI"/>
            <family val="2"/>
          </rPr>
          <t>(1) Transparency: inform data subject about data use. (2) Purpose limitation / minimization: Store as few data as possible, and use it only for its dedicated purpose. (3) Integrity: prevent unauthorized access. (4) The right to be forgotten.</t>
        </r>
      </text>
    </comment>
    <comment ref="F12" authorId="0" shapeId="0" xr:uid="{00000000-0006-0000-0100-00000D000000}">
      <text>
        <r>
          <rPr>
            <sz val="9"/>
            <color indexed="81"/>
            <rFont val="Segoe UI"/>
            <family val="2"/>
          </rPr>
          <t>The term autonomy […] is nowadays often equated with an individual’s maximum freedom of decision and action.</t>
        </r>
      </text>
    </comment>
    <comment ref="F13" authorId="0" shapeId="0" xr:uid="{00000000-0006-0000-0100-00000E000000}">
      <text>
        <r>
          <rPr>
            <sz val="9"/>
            <color indexed="81"/>
            <rFont val="Segoe UI"/>
            <family val="2"/>
          </rPr>
          <t>The term autonomy […] is nowadays often equated with an individual’s maximum freedom of decision and action.</t>
        </r>
      </text>
    </comment>
    <comment ref="F14" authorId="0" shapeId="0" xr:uid="{00000000-0006-0000-0100-00000F000000}">
      <text>
        <r>
          <rPr>
            <sz val="9"/>
            <color indexed="81"/>
            <rFont val="Segoe UI"/>
            <family val="2"/>
          </rPr>
          <t>(1) Transparency: inform data subject about data use. (2) Purpose limitation / minimization: Store as few data as possible, and use it only for its dedicated purpose. (3) Integrity: prevent unauthorized access. (4) The right to be forgotten.</t>
        </r>
      </text>
    </comment>
    <comment ref="F15" authorId="0" shapeId="0" xr:uid="{00000000-0006-0000-0100-000010000000}">
      <text>
        <r>
          <rPr>
            <sz val="9"/>
            <color indexed="81"/>
            <rFont val="Segoe UI"/>
            <family val="2"/>
          </rPr>
          <t>(1) Transparency: inform data subject about data use. (2) Purpose limitation / minimization: Store as few data as possible, and use it only for its dedicated purpose. (3) Integrity: prevent unauthorized access. (4) The right to be forgotten.</t>
        </r>
      </text>
    </comment>
    <comment ref="F16" authorId="0" shapeId="0" xr:uid="{00000000-0006-0000-0100-000011000000}">
      <text>
        <r>
          <rPr>
            <sz val="9"/>
            <color indexed="81"/>
            <rFont val="Segoe UI"/>
            <family val="2"/>
          </rPr>
          <t>(1) Transparency: inform data subject about data use. (2) Purpose limitation / minimization: Store as few data as possible, and use it only for its dedicated purpose. (3) Integrity: prevent unauthorized access. (4) The right to be forgotten.</t>
        </r>
      </text>
    </comment>
    <comment ref="C17" authorId="0" shapeId="0" xr:uid="{00000000-0006-0000-0100-000012000000}">
      <text>
        <r>
          <rPr>
            <sz val="9"/>
            <color indexed="81"/>
            <rFont val="Segoe UI"/>
            <family val="2"/>
          </rPr>
          <t>Several contact persons, not all living nearby, not all frequently available</t>
        </r>
      </text>
    </comment>
    <comment ref="F17" authorId="0" shapeId="0" xr:uid="{00000000-0006-0000-0100-000013000000}">
      <text>
        <r>
          <rPr>
            <sz val="9"/>
            <color indexed="81"/>
            <rFont val="Segoe UI"/>
            <family val="2"/>
          </rPr>
          <t xml:space="preserve">Fairness means that the same standards are applied to everyone, and that ressources are provided according to degree of neediness. </t>
        </r>
      </text>
    </comment>
    <comment ref="F18" authorId="0" shapeId="0" xr:uid="{00000000-0006-0000-0100-000014000000}">
      <text>
        <r>
          <rPr>
            <sz val="9"/>
            <color indexed="81"/>
            <rFont val="Segoe UI"/>
            <family val="2"/>
          </rPr>
          <t>Does the system save effort (time, money, responsibilities, …), or does it require additional resources for its operation (compared to a situation without the system)?</t>
        </r>
      </text>
    </comment>
    <comment ref="F19" authorId="0" shapeId="0" xr:uid="{00000000-0006-0000-0100-000015000000}">
      <text>
        <r>
          <rPr>
            <sz val="9"/>
            <color indexed="81"/>
            <rFont val="Segoe UI"/>
            <family val="2"/>
          </rPr>
          <t>Does the system save effort (time, money, responsibilities, …), or does it require additional resources for its operation (compared to a situation without the system)?</t>
        </r>
      </text>
    </comment>
    <comment ref="F20" authorId="0" shapeId="0" xr:uid="{00000000-0006-0000-0100-000016000000}">
      <text>
        <r>
          <rPr>
            <sz val="9"/>
            <color indexed="81"/>
            <rFont val="Segoe UI"/>
            <family val="2"/>
          </rPr>
          <t xml:space="preserve">A persons' freedom to evaluate and perceive herself according to her own personal mental model. Strongly related is the perceived self-efficacy, the expectation to successfully carry out intended acts based on one's competences. </t>
        </r>
      </text>
    </comment>
    <comment ref="F21" authorId="0" shapeId="0" xr:uid="{00000000-0006-0000-0100-000017000000}">
      <text>
        <r>
          <rPr>
            <sz val="9"/>
            <color indexed="81"/>
            <rFont val="Segoe UI"/>
            <family val="2"/>
          </rPr>
          <t xml:space="preserve">A persons' freedom to evaluate and perceive herself according to her own personal mental model. Strongly related is the perceived self-efficacy, the expectation to successfully carry out intended acts based on one's competences. </t>
        </r>
      </text>
    </comment>
    <comment ref="F22" authorId="0" shapeId="0" xr:uid="{00000000-0006-0000-0100-000018000000}">
      <text>
        <r>
          <rPr>
            <sz val="9"/>
            <color indexed="81"/>
            <rFont val="Segoe UI"/>
            <family val="2"/>
          </rPr>
          <t>(1) Transparency: inform data subject about data use. (2) Purpose limitation / minimization: Store as few data as possible, and use it only for its dedicated purpose. (3) Integrity: prevent unauthorized access. (4) The right to be forgotten.</t>
        </r>
      </text>
    </comment>
    <comment ref="F23" authorId="0" shapeId="0" xr:uid="{00000000-0006-0000-0100-000019000000}">
      <text>
        <r>
          <rPr>
            <sz val="9"/>
            <color indexed="81"/>
            <rFont val="Segoe UI"/>
            <family val="2"/>
          </rPr>
          <t>(1) Transparency: inform data subject about data use. (2) Purpose limitation / minimization: Store as few data as possible, and use it only for its dedicated purpose. (3) Integrity: prevent unauthorized access. (4) The right to be forgotten.</t>
        </r>
      </text>
    </comment>
    <comment ref="F24" authorId="0" shapeId="0" xr:uid="{00000000-0006-0000-0100-00001A000000}">
      <text>
        <r>
          <rPr>
            <sz val="9"/>
            <color indexed="81"/>
            <rFont val="Segoe UI"/>
            <family val="2"/>
          </rPr>
          <t>(1) Transparency: inform data subject about data use. (2) Purpose limitation / minimization: Store as few data as possible, and use it only for its dedicated purpose. (3) Integrity: prevent unauthorized access. (4) The right to be forgotten.</t>
        </r>
      </text>
    </comment>
    <comment ref="F25" authorId="0" shapeId="0" xr:uid="{00000000-0006-0000-0100-00001B000000}">
      <text>
        <r>
          <rPr>
            <sz val="9"/>
            <color indexed="81"/>
            <rFont val="Segoe UI"/>
            <family val="2"/>
          </rPr>
          <t>Does the system save effort (time, money, responsibilities, …), or does it require additional resources for its operation (compared to a situation without the system)?</t>
        </r>
      </text>
    </comment>
    <comment ref="F26" authorId="0" shapeId="0" xr:uid="{00000000-0006-0000-0100-00001C000000}">
      <text>
        <r>
          <rPr>
            <sz val="9"/>
            <color indexed="81"/>
            <rFont val="Segoe UI"/>
            <family val="2"/>
          </rPr>
          <t>Does the system save effort (time, money, responsibilities, …), or does it require additional resources for its operation (compared to a situation without the system)?</t>
        </r>
      </text>
    </comment>
    <comment ref="F27" authorId="0" shapeId="0" xr:uid="{00000000-0006-0000-0100-00001D000000}">
      <text>
        <r>
          <rPr>
            <sz val="9"/>
            <color indexed="81"/>
            <rFont val="Segoe UI"/>
            <family val="2"/>
          </rPr>
          <t>(1) Transparency: inform data subject about data use. (2) Purpose limitation / minimization: Store as few data as possible, and use it only for its dedicated purpose. (3) Integrity: prevent unauthorized access. (4) The right to be forgotten.</t>
        </r>
      </text>
    </comment>
    <comment ref="F28" authorId="0" shapeId="0" xr:uid="{00000000-0006-0000-0100-00001E000000}">
      <text>
        <r>
          <rPr>
            <sz val="9"/>
            <color indexed="81"/>
            <rFont val="Segoe UI"/>
            <family val="2"/>
          </rPr>
          <t>(1) Transparency: inform data subject about data use. (2) Purpose limitation / minimization: Store as few data as possible, and use it only for its dedicated purpose. (3) Integrity: prevent unauthorized access. (4) The right to be forgotten.</t>
        </r>
      </text>
    </comment>
    <comment ref="F29" authorId="0" shapeId="0" xr:uid="{00000000-0006-0000-0100-00001F000000}">
      <text>
        <r>
          <rPr>
            <sz val="9"/>
            <color indexed="81"/>
            <rFont val="Segoe UI"/>
            <family val="2"/>
          </rPr>
          <t>(1) Transparency: inform data subject about data use. (2) Purpose limitation / minimization: Store as few data as possible, and use it only for its dedicated purpose. (3) Integrity: prevent unauthorized access. (4) The right to be forgotten.</t>
        </r>
      </text>
    </comment>
    <comment ref="F30" authorId="0" shapeId="0" xr:uid="{00000000-0006-0000-0100-000020000000}">
      <text>
        <r>
          <rPr>
            <sz val="9"/>
            <color indexed="81"/>
            <rFont val="Segoe UI"/>
            <family val="2"/>
          </rPr>
          <t xml:space="preserve">A persons' freedom to evaluate and perceive herself according to her own personal mental model. Strongly related is the perceived self-efficacy, the expectation to successfully carry out intended acts based on one's competences. </t>
        </r>
      </text>
    </comment>
    <comment ref="F31" authorId="0" shapeId="0" xr:uid="{00000000-0006-0000-0100-000021000000}">
      <text>
        <r>
          <rPr>
            <sz val="9"/>
            <color indexed="81"/>
            <rFont val="Segoe UI"/>
            <family val="2"/>
          </rPr>
          <t>Does the system save effort (time, money, responsibilities, …), or does it require additional resources for its operation (compared to a situation without the system)?</t>
        </r>
      </text>
    </comment>
    <comment ref="F32" authorId="0" shapeId="0" xr:uid="{00000000-0006-0000-0100-000022000000}">
      <text>
        <r>
          <rPr>
            <sz val="9"/>
            <color indexed="81"/>
            <rFont val="Segoe UI"/>
            <family val="2"/>
          </rPr>
          <t xml:space="preserve">Profitability means an organisation's ability to fund its operations and strategic development out of its revenues. </t>
        </r>
      </text>
    </comment>
    <comment ref="F33" authorId="0" shapeId="0" xr:uid="{00000000-0006-0000-0100-000023000000}">
      <text>
        <r>
          <rPr>
            <sz val="9"/>
            <color indexed="81"/>
            <rFont val="Segoe UI"/>
            <family val="2"/>
          </rPr>
          <t xml:space="preserve">Profitability means an organisation's ability to fund its operations and strategic development out of its revenues. </t>
        </r>
      </text>
    </comment>
    <comment ref="F34" authorId="0" shapeId="0" xr:uid="{00000000-0006-0000-0100-000024000000}">
      <text>
        <r>
          <rPr>
            <sz val="9"/>
            <color indexed="81"/>
            <rFont val="Segoe UI"/>
            <family val="2"/>
          </rPr>
          <t xml:space="preserve">Profitability means an organisation's ability to fund its operations and strategic development out of its revenues. </t>
        </r>
      </text>
    </comment>
    <comment ref="C35" authorId="0" shapeId="0" xr:uid="{00000000-0006-0000-0100-000025000000}">
      <text>
        <r>
          <rPr>
            <sz val="9"/>
            <color indexed="81"/>
            <rFont val="Segoe UI"/>
            <family val="2"/>
          </rPr>
          <t>Person suffering from dementia lives in in a nursing home</t>
        </r>
      </text>
    </comment>
    <comment ref="F35" authorId="0" shapeId="0" xr:uid="{00000000-0006-0000-0100-000026000000}">
      <text>
        <r>
          <rPr>
            <sz val="9"/>
            <color indexed="81"/>
            <rFont val="Segoe UI"/>
            <family val="2"/>
          </rPr>
          <t>Does the system save effort (time, money, responsibilities, …), or does it require additional resources for its operation (compared to a situation without the system)?</t>
        </r>
      </text>
    </comment>
    <comment ref="C36" authorId="0" shapeId="0" xr:uid="{00000000-0006-0000-0100-000027000000}">
      <text>
        <r>
          <rPr>
            <sz val="9"/>
            <color indexed="81"/>
            <rFont val="Segoe UI"/>
            <family val="2"/>
          </rPr>
          <t>Person suffering from dementia lives in in a nursing home</t>
        </r>
      </text>
    </comment>
    <comment ref="F36" authorId="0" shapeId="0" xr:uid="{00000000-0006-0000-0100-000028000000}">
      <text>
        <r>
          <rPr>
            <sz val="9"/>
            <color indexed="81"/>
            <rFont val="Segoe UI"/>
            <family val="2"/>
          </rPr>
          <t xml:space="preserve">A persons' freedom to evaluate and perceive herself according to her own personal mental model. Strongly related is the perceived self-efficacy, the expectation to successfully carry out intended acts based on one's competences. </t>
        </r>
      </text>
    </comment>
    <comment ref="C37" authorId="0" shapeId="0" xr:uid="{00000000-0006-0000-0100-000029000000}">
      <text>
        <r>
          <rPr>
            <sz val="9"/>
            <color indexed="81"/>
            <rFont val="Segoe UI"/>
            <family val="2"/>
          </rPr>
          <t>Person suffering from dementia lives in in a nursing home</t>
        </r>
      </text>
    </comment>
    <comment ref="D37" authorId="0" shapeId="0" xr:uid="{00000000-0006-0000-0100-00002A000000}">
      <text>
        <r>
          <rPr>
            <sz val="9"/>
            <color indexed="81"/>
            <rFont val="Segoe UI"/>
            <family val="2"/>
          </rPr>
          <t>ILA is run as a stand-alone platform, offered as a nursing home service and administed by the nursing home</t>
        </r>
      </text>
    </comment>
    <comment ref="F37" authorId="0" shapeId="0" xr:uid="{00000000-0006-0000-0100-00002B000000}">
      <text>
        <r>
          <rPr>
            <sz val="9"/>
            <color indexed="81"/>
            <rFont val="Segoe UI"/>
            <family val="2"/>
          </rPr>
          <t>(1) Transparency: inform data subject about data use. (2) Purpose limitation / minimization: Store as few data as possible, and use it only for its dedicated purpose. (3) Integrity: prevent unauthorized access. (4) The right to be forgotten.</t>
        </r>
      </text>
    </comment>
    <comment ref="C38" authorId="0" shapeId="0" xr:uid="{00000000-0006-0000-0100-00002C000000}">
      <text>
        <r>
          <rPr>
            <sz val="9"/>
            <color indexed="81"/>
            <rFont val="Segoe UI"/>
            <family val="2"/>
          </rPr>
          <t>Person suffering from dementia lives in in a nursing home</t>
        </r>
      </text>
    </comment>
    <comment ref="D38" authorId="0" shapeId="0" xr:uid="{00000000-0006-0000-0100-00002D000000}">
      <text>
        <r>
          <rPr>
            <sz val="9"/>
            <color indexed="81"/>
            <rFont val="Segoe UI"/>
            <family val="2"/>
          </rPr>
          <t>ILA is run as a stand-alone platform, offered as a nursing home service and administed by the nursing home</t>
        </r>
      </text>
    </comment>
    <comment ref="F38" authorId="0" shapeId="0" xr:uid="{00000000-0006-0000-0100-00002E000000}">
      <text>
        <r>
          <rPr>
            <sz val="9"/>
            <color indexed="81"/>
            <rFont val="Segoe UI"/>
            <family val="2"/>
          </rPr>
          <t>(1) Transparency: inform data subject about data use. (2) Purpose limitation / minimization: Store as few data as possible, and use it only for its dedicated purpose. (3) Integrity: prevent unauthorized access. (4) The right to be forgotten.</t>
        </r>
      </text>
    </comment>
    <comment ref="C39" authorId="0" shapeId="0" xr:uid="{00000000-0006-0000-0100-00002F000000}">
      <text>
        <r>
          <rPr>
            <sz val="9"/>
            <color indexed="81"/>
            <rFont val="Segoe UI"/>
            <family val="2"/>
          </rPr>
          <t>Person suffering from dementia lives in in a nursing home</t>
        </r>
      </text>
    </comment>
    <comment ref="D39" authorId="0" shapeId="0" xr:uid="{00000000-0006-0000-0100-000030000000}">
      <text>
        <r>
          <rPr>
            <sz val="9"/>
            <color indexed="81"/>
            <rFont val="Segoe UI"/>
            <family val="2"/>
          </rPr>
          <t>ILA is run as a stand-alone platform, offered as a nursing home service and administed by the nursing home</t>
        </r>
      </text>
    </comment>
    <comment ref="F39" authorId="0" shapeId="0" xr:uid="{00000000-0006-0000-0100-000031000000}">
      <text>
        <r>
          <rPr>
            <sz val="9"/>
            <color indexed="81"/>
            <rFont val="Segoe UI"/>
            <family val="2"/>
          </rPr>
          <t>(1) Transparency: inform data subject about data use. (2) Purpose limitation / minimization: Store as few data as possible, and use it only for its dedicated purpose. (3) Integrity: prevent unauthorized access. (4) The right to be forgotten.</t>
        </r>
      </text>
    </comment>
    <comment ref="C40" authorId="0" shapeId="0" xr:uid="{00000000-0006-0000-0100-000032000000}">
      <text>
        <r>
          <rPr>
            <sz val="9"/>
            <color indexed="81"/>
            <rFont val="Segoe UI"/>
            <family val="2"/>
          </rPr>
          <t>Person suffering from dementia lives in in a nursing home</t>
        </r>
      </text>
    </comment>
    <comment ref="F40" authorId="0" shapeId="0" xr:uid="{00000000-0006-0000-0100-000033000000}">
      <text>
        <r>
          <rPr>
            <sz val="9"/>
            <color indexed="81"/>
            <rFont val="Segoe UI"/>
            <family val="2"/>
          </rPr>
          <t xml:space="preserve">A persons' freedom to evaluate and perceive herself according to her own personal mental model. Strongly related is the perceived self-efficacy, the expectation to successfully carry out intended acts based on one's competences. </t>
        </r>
      </text>
    </comment>
    <comment ref="C41" authorId="0" shapeId="0" xr:uid="{00000000-0006-0000-0100-000034000000}">
      <text>
        <r>
          <rPr>
            <sz val="9"/>
            <color indexed="81"/>
            <rFont val="Segoe UI"/>
            <family val="2"/>
          </rPr>
          <t>Person suffering from dementia lives in in a nursing home</t>
        </r>
      </text>
    </comment>
    <comment ref="F41" authorId="0" shapeId="0" xr:uid="{00000000-0006-0000-0100-000035000000}">
      <text>
        <r>
          <rPr>
            <sz val="9"/>
            <color indexed="81"/>
            <rFont val="Segoe UI"/>
            <family val="2"/>
          </rPr>
          <t>Does the system save effort (time, money, responsibilities, …), or does it require additional resources for its operation (compared to a situation without the system)?</t>
        </r>
      </text>
    </comment>
    <comment ref="C42" authorId="0" shapeId="0" xr:uid="{00000000-0006-0000-0100-000036000000}">
      <text>
        <r>
          <rPr>
            <sz val="9"/>
            <color indexed="81"/>
            <rFont val="Segoe UI"/>
            <family val="2"/>
          </rPr>
          <t>Person suffering from dementia lives in in a nursing home</t>
        </r>
      </text>
    </comment>
    <comment ref="D42" authorId="0" shapeId="0" xr:uid="{00000000-0006-0000-0100-000037000000}">
      <text>
        <r>
          <rPr>
            <sz val="9"/>
            <color indexed="81"/>
            <rFont val="Segoe UI"/>
            <family val="2"/>
          </rPr>
          <t>ILA is run as a stand-alone platform, offered as a nursing home service and administed by the nursing home</t>
        </r>
      </text>
    </comment>
    <comment ref="F42" authorId="0" shapeId="0" xr:uid="{00000000-0006-0000-0100-000038000000}">
      <text>
        <r>
          <rPr>
            <sz val="9"/>
            <color indexed="81"/>
            <rFont val="Segoe UI"/>
            <family val="2"/>
          </rPr>
          <t>Does the system save effort (time, money, responsibilities, …), or does it require additional resources for its operation (compared to a situation without the system)?</t>
        </r>
      </text>
    </comment>
    <comment ref="C43" authorId="0" shapeId="0" xr:uid="{00000000-0006-0000-0100-000039000000}">
      <text>
        <r>
          <rPr>
            <sz val="9"/>
            <color indexed="81"/>
            <rFont val="Segoe UI"/>
            <family val="2"/>
          </rPr>
          <t>Person suffering from dementia lives in in a nursing home</t>
        </r>
      </text>
    </comment>
    <comment ref="D43" authorId="0" shapeId="0" xr:uid="{00000000-0006-0000-0100-00003A000000}">
      <text>
        <r>
          <rPr>
            <sz val="9"/>
            <color indexed="81"/>
            <rFont val="Segoe UI"/>
            <family val="2"/>
          </rPr>
          <t>ILA is run as a stand-alone platform, offered as a nursing home service and administed by the nursing home</t>
        </r>
      </text>
    </comment>
    <comment ref="F43" authorId="0" shapeId="0" xr:uid="{00000000-0006-0000-0100-00003B000000}">
      <text>
        <r>
          <rPr>
            <sz val="9"/>
            <color indexed="81"/>
            <rFont val="Segoe UI"/>
            <family val="2"/>
          </rPr>
          <t>Does the system save effort (time, money, responsibilities, …), or does it require additional resources for its operation (compared to a situation without the system)?</t>
        </r>
      </text>
    </comment>
    <comment ref="C44" authorId="0" shapeId="0" xr:uid="{00000000-0006-0000-0100-00003C000000}">
      <text>
        <r>
          <rPr>
            <sz val="9"/>
            <color indexed="81"/>
            <rFont val="Segoe UI"/>
            <family val="2"/>
          </rPr>
          <t>Person suffering from dementia lives in in a nursing home</t>
        </r>
      </text>
    </comment>
    <comment ref="D44" authorId="0" shapeId="0" xr:uid="{00000000-0006-0000-0100-00003D000000}">
      <text>
        <r>
          <rPr>
            <sz val="9"/>
            <color indexed="81"/>
            <rFont val="Segoe UI"/>
            <family val="2"/>
          </rPr>
          <t>ILA is run as a stand-alone platform, offered as a nursing home service and administed by the nursing home</t>
        </r>
      </text>
    </comment>
    <comment ref="F44" authorId="0" shapeId="0" xr:uid="{00000000-0006-0000-0100-00003E000000}">
      <text>
        <r>
          <rPr>
            <sz val="9"/>
            <color indexed="81"/>
            <rFont val="Segoe UI"/>
            <family val="2"/>
          </rPr>
          <t>(1) Transparency: inform data subject about data use. (2) Purpose limitation / minimization: Store as few data as possible, and use it only for its dedicated purpose. (3) Integrity: prevent unauthorized access. (4) The right to be forgotten.</t>
        </r>
      </text>
    </comment>
    <comment ref="C45" authorId="0" shapeId="0" xr:uid="{00000000-0006-0000-0100-00003F000000}">
      <text>
        <r>
          <rPr>
            <sz val="9"/>
            <color indexed="81"/>
            <rFont val="Segoe UI"/>
            <family val="2"/>
          </rPr>
          <t>ILA is paid for by the health insurance</t>
        </r>
      </text>
    </comment>
    <comment ref="F45" authorId="0" shapeId="0" xr:uid="{00000000-0006-0000-0100-000040000000}">
      <text>
        <r>
          <rPr>
            <sz val="9"/>
            <color indexed="81"/>
            <rFont val="Segoe UI"/>
            <family val="2"/>
          </rPr>
          <t xml:space="preserve">Fairness means that the same standards are applied to everyone, and that ressources are provided according to degree of neediness. </t>
        </r>
      </text>
    </comment>
    <comment ref="C46" authorId="0" shapeId="0" xr:uid="{00000000-0006-0000-0100-000041000000}">
      <text>
        <r>
          <rPr>
            <sz val="9"/>
            <color indexed="81"/>
            <rFont val="Segoe UI"/>
            <family val="2"/>
          </rPr>
          <t>ILA is paid for by the health insurance</t>
        </r>
      </text>
    </comment>
    <comment ref="F46" authorId="0" shapeId="0" xr:uid="{00000000-0006-0000-0100-000042000000}">
      <text>
        <r>
          <rPr>
            <sz val="9"/>
            <color indexed="81"/>
            <rFont val="Segoe UI"/>
            <family val="2"/>
          </rPr>
          <t xml:space="preserve">A persons' freedom to evaluate and perceive herself according to her own personal mental model. Strongly related is the perceived self-efficacy, the expectation to successfully carry out intended acts based on one's competences. </t>
        </r>
      </text>
    </comment>
    <comment ref="C47" authorId="0" shapeId="0" xr:uid="{00000000-0006-0000-0100-000043000000}">
      <text>
        <r>
          <rPr>
            <sz val="9"/>
            <color indexed="81"/>
            <rFont val="Segoe UI"/>
            <family val="2"/>
          </rPr>
          <t>ILA is paid for by the health insurance</t>
        </r>
      </text>
    </comment>
    <comment ref="F47" authorId="0" shapeId="0" xr:uid="{00000000-0006-0000-0100-000044000000}">
      <text>
        <r>
          <rPr>
            <sz val="9"/>
            <color indexed="81"/>
            <rFont val="Segoe UI"/>
            <family val="2"/>
          </rPr>
          <t>Does the system save effort (time, money, responsibilities, …), or does it require additional resources for its operation (compared to a situation without the system)?</t>
        </r>
      </text>
    </comment>
    <comment ref="F48" authorId="0" shapeId="0" xr:uid="{00000000-0006-0000-0100-000045000000}">
      <text>
        <r>
          <rPr>
            <sz val="9"/>
            <color indexed="81"/>
            <rFont val="Segoe UI"/>
            <family val="2"/>
          </rPr>
          <t xml:space="preserve">Profitability means an organisation's ability to fund its operations and strategic development out of its revenues. </t>
        </r>
      </text>
    </comment>
    <comment ref="C49" authorId="0" shapeId="0" xr:uid="{00000000-0006-0000-0100-000046000000}">
      <text>
        <r>
          <rPr>
            <sz val="9"/>
            <color indexed="81"/>
            <rFont val="Segoe UI"/>
            <family val="2"/>
          </rPr>
          <t>ILA is paid for by the health insurance</t>
        </r>
      </text>
    </comment>
    <comment ref="F49" authorId="0" shapeId="0" xr:uid="{00000000-0006-0000-0100-000047000000}">
      <text>
        <r>
          <rPr>
            <sz val="9"/>
            <color indexed="81"/>
            <rFont val="Segoe UI"/>
            <family val="2"/>
          </rPr>
          <t>Opportunity describes an organisation's ability and position to drive innovation, expand its market share, improve customer loyalty, or pursue any other strategic goals.</t>
        </r>
      </text>
    </comment>
    <comment ref="C50" authorId="0" shapeId="0" xr:uid="{00000000-0006-0000-0100-000048000000}">
      <text>
        <r>
          <rPr>
            <sz val="9"/>
            <color indexed="81"/>
            <rFont val="Segoe UI"/>
            <family val="2"/>
          </rPr>
          <t>ILA is paid for by the health insurance</t>
        </r>
      </text>
    </comment>
    <comment ref="F50" authorId="0" shapeId="0" xr:uid="{00000000-0006-0000-0100-000049000000}">
      <text>
        <r>
          <rPr>
            <sz val="9"/>
            <color indexed="81"/>
            <rFont val="Segoe UI"/>
            <family val="2"/>
          </rPr>
          <t>(1) Transparency: inform data subject about data use. (2) Purpose limitation / minimization: Store as few data as possible, and use it only for its dedicated purpose. (3) Integrity: prevent unauthorized access. (4) The right to be forgotten.</t>
        </r>
      </text>
    </comment>
    <comment ref="F51" authorId="0" shapeId="0" xr:uid="{00000000-0006-0000-0100-00004A000000}">
      <text>
        <r>
          <rPr>
            <sz val="9"/>
            <color indexed="81"/>
            <rFont val="Segoe UI"/>
            <family val="2"/>
          </rPr>
          <t>Does the system save effort (time, money, responsibilities, …), or does it require additional resources for its operation (compared to a situation without the system)?</t>
        </r>
      </text>
    </comment>
    <comment ref="F52" authorId="0" shapeId="0" xr:uid="{00000000-0006-0000-0100-00004B000000}">
      <text>
        <r>
          <rPr>
            <sz val="9"/>
            <color indexed="81"/>
            <rFont val="Segoe UI"/>
            <family val="2"/>
          </rPr>
          <t xml:space="preserve">Profitability means an organisation's ability to fund its operations and strategic development out of its revenues. </t>
        </r>
      </text>
    </comment>
    <comment ref="C53" authorId="0" shapeId="0" xr:uid="{00000000-0006-0000-0100-00004C000000}">
      <text>
        <r>
          <rPr>
            <sz val="9"/>
            <color indexed="81"/>
            <rFont val="Segoe UI"/>
            <family val="2"/>
          </rPr>
          <t>ILA operates as part of a home emergency call service</t>
        </r>
      </text>
    </comment>
    <comment ref="F53" authorId="0" shapeId="0" xr:uid="{00000000-0006-0000-0100-00004D000000}">
      <text>
        <r>
          <rPr>
            <sz val="9"/>
            <color indexed="81"/>
            <rFont val="Segoe UI"/>
            <family val="2"/>
          </rPr>
          <t xml:space="preserve">Profitability means an organisation's ability to fund its operations and strategic development out of its revenues. </t>
        </r>
      </text>
    </comment>
    <comment ref="F54" authorId="0" shapeId="0" xr:uid="{00000000-0006-0000-0100-00004E000000}">
      <text>
        <r>
          <rPr>
            <sz val="9"/>
            <color indexed="81"/>
            <rFont val="Segoe UI"/>
            <family val="2"/>
          </rPr>
          <t>Opportunity describes an organisation's ability and position to drive innovation, expand its market share, improve customer loyalty, or pursue any other strategic goals.</t>
        </r>
      </text>
    </comment>
    <comment ref="F55" authorId="0" shapeId="0" xr:uid="{00000000-0006-0000-0100-00004F000000}">
      <text>
        <r>
          <rPr>
            <sz val="9"/>
            <color indexed="81"/>
            <rFont val="Segoe UI"/>
            <family val="2"/>
          </rPr>
          <t>(1) Transparency: inform data subject about data use. (2) Purpose limitation / minimization: Store as few data as possible, and use it only for its dedicated purpose. (3) Integrity: prevent unauthorized access. (4) The right to be forgotten.</t>
        </r>
      </text>
    </comment>
    <comment ref="C56" authorId="0" shapeId="0" xr:uid="{00000000-0006-0000-0100-000050000000}">
      <text>
        <r>
          <rPr>
            <sz val="9"/>
            <color indexed="81"/>
            <rFont val="Segoe UI"/>
            <family val="2"/>
          </rPr>
          <t>ILA operates as part of a home emergency call service</t>
        </r>
      </text>
    </comment>
    <comment ref="F56" authorId="0" shapeId="0" xr:uid="{00000000-0006-0000-0100-000051000000}">
      <text>
        <r>
          <rPr>
            <sz val="9"/>
            <color indexed="81"/>
            <rFont val="Segoe UI"/>
            <family val="2"/>
          </rPr>
          <t>Does the system save effort (time, money, responsibilities, …), or does it require additional resources for its operation (compared to a situation without the system)?</t>
        </r>
      </text>
    </comment>
    <comment ref="C57" authorId="0" shapeId="0" xr:uid="{00000000-0006-0000-0100-000052000000}">
      <text>
        <r>
          <rPr>
            <sz val="9"/>
            <color indexed="81"/>
            <rFont val="Segoe UI"/>
            <family val="2"/>
          </rPr>
          <t>ILA operates as part of a home emergency call service</t>
        </r>
      </text>
    </comment>
    <comment ref="F57" authorId="0" shapeId="0" xr:uid="{00000000-0006-0000-0100-000053000000}">
      <text>
        <r>
          <rPr>
            <sz val="9"/>
            <color indexed="81"/>
            <rFont val="Segoe UI"/>
            <family val="2"/>
          </rPr>
          <t>Does the system save effort (time, money, responsibilities, …), or does it require additional resources for its operation (compared to a situation without the system)?</t>
        </r>
      </text>
    </comment>
    <comment ref="C58" authorId="0" shapeId="0" xr:uid="{00000000-0006-0000-0100-000054000000}">
      <text>
        <r>
          <rPr>
            <sz val="9"/>
            <color indexed="81"/>
            <rFont val="Segoe UI"/>
            <family val="2"/>
          </rPr>
          <t>ILA operates as part of a home emergency call service</t>
        </r>
      </text>
    </comment>
    <comment ref="F58" authorId="0" shapeId="0" xr:uid="{00000000-0006-0000-0100-000055000000}">
      <text>
        <r>
          <rPr>
            <sz val="9"/>
            <color indexed="81"/>
            <rFont val="Segoe UI"/>
            <family val="2"/>
          </rPr>
          <t xml:space="preserve">Profitability means an organisation's ability to fund its operations and strategic development out of its revenues. </t>
        </r>
      </text>
    </comment>
    <comment ref="C59" authorId="0" shapeId="0" xr:uid="{00000000-0006-0000-0100-000056000000}">
      <text>
        <r>
          <rPr>
            <sz val="9"/>
            <color indexed="81"/>
            <rFont val="Segoe UI"/>
            <family val="2"/>
          </rPr>
          <t>ILA operates as part of a home emergency call service</t>
        </r>
      </text>
    </comment>
    <comment ref="F59" authorId="0" shapeId="0" xr:uid="{00000000-0006-0000-0100-000057000000}">
      <text>
        <r>
          <rPr>
            <sz val="9"/>
            <color indexed="81"/>
            <rFont val="Segoe UI"/>
            <family val="2"/>
          </rPr>
          <t xml:space="preserve">Profitability means an organisation's ability to fund its operations and strategic development out of its revenues. </t>
        </r>
      </text>
    </comment>
    <comment ref="C60" authorId="0" shapeId="0" xr:uid="{00000000-0006-0000-0100-000058000000}">
      <text>
        <r>
          <rPr>
            <sz val="9"/>
            <color indexed="81"/>
            <rFont val="Segoe UI"/>
            <family val="2"/>
          </rPr>
          <t>ILA operates as part of a home emergency call service</t>
        </r>
      </text>
    </comment>
    <comment ref="F60" authorId="0" shapeId="0" xr:uid="{00000000-0006-0000-0100-000059000000}">
      <text>
        <r>
          <rPr>
            <sz val="9"/>
            <color indexed="81"/>
            <rFont val="Segoe UI"/>
            <family val="2"/>
          </rPr>
          <t>Opportunity describes an organisation's ability and position to drive innovation, expand its market share, improve customer loyalty, or pursue any other strategic goals.</t>
        </r>
      </text>
    </comment>
    <comment ref="C61" authorId="0" shapeId="0" xr:uid="{00000000-0006-0000-0100-00005A000000}">
      <text>
        <r>
          <rPr>
            <sz val="9"/>
            <color indexed="81"/>
            <rFont val="Segoe UI"/>
            <family val="2"/>
          </rPr>
          <t>ILA operates as part of a home emergency call service</t>
        </r>
      </text>
    </comment>
    <comment ref="F61" authorId="0" shapeId="0" xr:uid="{00000000-0006-0000-0100-00005B000000}">
      <text>
        <r>
          <rPr>
            <sz val="9"/>
            <color indexed="81"/>
            <rFont val="Segoe UI"/>
            <family val="2"/>
          </rPr>
          <t>(1) Transparency: inform data subject about data use. (2) Purpose limitation / minimization: Store as few data as possible, and use it only for its dedicated purpose. (3) Integrity: prevent unauthorized access. (4) The right to be forgotten.</t>
        </r>
      </text>
    </comment>
    <comment ref="F62" authorId="0" shapeId="0" xr:uid="{00000000-0006-0000-0100-00005C000000}">
      <text>
        <r>
          <rPr>
            <sz val="9"/>
            <color indexed="81"/>
            <rFont val="Segoe UI"/>
            <family val="2"/>
          </rPr>
          <t>The term autonomy […] is nowadays often equated with an individual’s maximum freedom of decision and action.</t>
        </r>
      </text>
    </comment>
    <comment ref="F63" authorId="0" shapeId="0" xr:uid="{00000000-0006-0000-0100-00005D000000}">
      <text>
        <r>
          <rPr>
            <sz val="9"/>
            <color indexed="81"/>
            <rFont val="Segoe UI"/>
            <family val="2"/>
          </rPr>
          <t>Participation […] means providing people with access, rights, services, and assets that enable them to live together with other people in society.</t>
        </r>
      </text>
    </comment>
    <comment ref="F64" authorId="0" shapeId="0" xr:uid="{00000000-0006-0000-0100-00005E000000}">
      <text>
        <r>
          <rPr>
            <sz val="9"/>
            <color indexed="81"/>
            <rFont val="Segoe UI"/>
            <family val="2"/>
          </rPr>
          <t>(1) Transparency: inform data subject about data use. (2) Purpose limitation / minimization: Store as few data as possible, and use it only for its dedicated purpose. (3) Integrity: prevent unauthorized access. (4) The right to be forgotten.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D6" authorId="0" shapeId="0" xr:uid="{826907EB-C932-4156-8AA0-A521159CB2B1}">
      <text>
        <r>
          <rPr>
            <sz val="9"/>
            <color indexed="81"/>
            <rFont val="Segoe UI"/>
            <family val="2"/>
          </rPr>
          <t xml:space="preserve">ILA Startup - Liability:_x000D_
The company behind ILA will run an existential risk in case anything goes wrong. </t>
        </r>
      </text>
    </comment>
    <comment ref="E6" authorId="0" shapeId="0" xr:uid="{7BAB05CF-9C0B-49EE-8C1A-EA6C1B557902}">
      <text>
        <r>
          <rPr>
            <sz val="9"/>
            <color indexed="81"/>
            <rFont val="Segoe UI"/>
            <family val="2"/>
          </rPr>
          <t xml:space="preserve">ILA Startup - Profitability:_x000D_
The ILA provider will earn money with the product. </t>
        </r>
      </text>
    </comment>
    <comment ref="F6" authorId="0" shapeId="0" xr:uid="{8D2427FF-6539-4AA6-973C-B6ECBFEDD5DA}">
      <text>
        <r>
          <rPr>
            <sz val="9"/>
            <color indexed="81"/>
            <rFont val="Segoe UI"/>
            <family val="2"/>
          </rPr>
          <t>ILA Startup - Profitability:_x000D_
If ILA operation is coupled to an emergency call system, there might be additional technical constraints on hardware and support model, affecting profitability.</t>
        </r>
      </text>
    </comment>
    <comment ref="G6" authorId="0" shapeId="0" xr:uid="{2C6E6957-816B-486F-8FC9-59FABFFAE741}">
      <text>
        <r>
          <rPr>
            <sz val="9"/>
            <color indexed="81"/>
            <rFont val="Segoe UI"/>
            <family val="2"/>
          </rPr>
          <t xml:space="preserve">ILA Startup - Opportunity:_x000D_
If ILA is successful, the startup behind ILA will be able to grow. </t>
        </r>
      </text>
    </comment>
    <comment ref="H6" authorId="0" shapeId="0" xr:uid="{473E14E8-6EB9-4506-8893-5D998D4B169F}">
      <text>
        <r>
          <rPr>
            <sz val="9"/>
            <color indexed="81"/>
            <rFont val="Segoe UI"/>
            <family val="2"/>
          </rPr>
          <t>ILA Startup - Privacy:_x000D_
Any privacy breach is a potential violation of GDPR laws.</t>
        </r>
      </text>
    </comment>
    <comment ref="D7" authorId="0" shapeId="0" xr:uid="{AFD73308-2828-499F-B6A0-7B4D12B8798D}">
      <text>
        <r>
          <rPr>
            <sz val="9"/>
            <color indexed="81"/>
            <rFont val="Segoe UI"/>
            <family val="2"/>
          </rPr>
          <t xml:space="preserve">This measure adresses a major risk, but it cannot mitigate it (on its own). </t>
        </r>
      </text>
    </comment>
    <comment ref="E7" authorId="0" shapeId="0" xr:uid="{EA7028FE-CD56-4680-8D8D-9C171C3D5355}">
      <text>
        <r>
          <rPr>
            <sz val="9"/>
            <color indexed="81"/>
            <rFont val="Segoe UI"/>
            <family val="2"/>
          </rPr>
          <t>This measure partially realizes a major goal.</t>
        </r>
      </text>
    </comment>
    <comment ref="C8" authorId="0" shapeId="0" xr:uid="{00000000-0006-0000-0200-000003000000}">
      <text>
        <r>
          <rPr>
            <sz val="9"/>
            <color indexed="81"/>
            <rFont val="Segoe UI"/>
            <family val="2"/>
          </rPr>
          <t>Several contact persons, not all living nearby, not all frequently available</t>
        </r>
      </text>
    </comment>
    <comment ref="D8" authorId="0" shapeId="0" xr:uid="{4B3F36D1-C37B-419F-80CA-8D0C0D117ACF}">
      <text>
        <r>
          <rPr>
            <sz val="9"/>
            <color indexed="81"/>
            <rFont val="Segoe UI"/>
            <family val="2"/>
          </rPr>
          <t>This measure adresses a major risk, and makes it less severe.</t>
        </r>
      </text>
    </comment>
    <comment ref="C9" authorId="0" shapeId="0" xr:uid="{00000000-0006-0000-0200-000004000000}">
      <text>
        <r>
          <rPr>
            <sz val="9"/>
            <color indexed="81"/>
            <rFont val="Segoe UI"/>
            <family val="2"/>
          </rPr>
          <t>ILA operates as part of a home emergency call service</t>
        </r>
      </text>
    </comment>
    <comment ref="D9" authorId="0" shapeId="0" xr:uid="{F78A26F2-087D-4F4A-8B77-36F9F7B941F6}">
      <text>
        <r>
          <rPr>
            <sz val="9"/>
            <color indexed="81"/>
            <rFont val="Segoe UI"/>
            <family val="2"/>
          </rPr>
          <t xml:space="preserve">This measure adresses a major risk, but it cannot mitigate it (on its own). </t>
        </r>
      </text>
    </comment>
    <comment ref="F9" authorId="0" shapeId="0" xr:uid="{1B8A3247-43A3-493B-B36A-78E02608A3EF}">
      <text>
        <r>
          <rPr>
            <sz val="9"/>
            <color indexed="81"/>
            <rFont val="Segoe UI"/>
            <family val="2"/>
          </rPr>
          <t xml:space="preserve">This measure adresses a major risk, but it cannot mitigate it (on its own). </t>
        </r>
      </text>
    </comment>
    <comment ref="H9" authorId="0" shapeId="0" xr:uid="{44C0F3D3-1789-4758-800E-A0D7EAFF3057}">
      <text>
        <r>
          <rPr>
            <sz val="9"/>
            <color indexed="81"/>
            <rFont val="Segoe UI"/>
            <family val="2"/>
          </rPr>
          <t xml:space="preserve">This measure adresses a major risk, but it cannot mitigate it (on its own). </t>
        </r>
      </text>
    </comment>
    <comment ref="C10" authorId="0" shapeId="0" xr:uid="{00000000-0006-0000-0200-000005000000}">
      <text>
        <r>
          <rPr>
            <sz val="9"/>
            <color indexed="81"/>
            <rFont val="Segoe UI"/>
            <family val="2"/>
          </rPr>
          <t>Person suffering from dementia lives in in a nursing home</t>
        </r>
      </text>
    </comment>
    <comment ref="D10" authorId="0" shapeId="0" xr:uid="{C74BBDC5-2B3B-46CF-B102-D1241C62CD66}">
      <text>
        <r>
          <rPr>
            <sz val="9"/>
            <color indexed="81"/>
            <rFont val="Segoe UI"/>
            <family val="2"/>
          </rPr>
          <t>This measure fully solves a major risk.</t>
        </r>
      </text>
    </comment>
    <comment ref="C11" authorId="0" shapeId="0" xr:uid="{817500FE-CCCB-45E6-ACCF-B7418CDC7F45}">
      <text>
        <r>
          <rPr>
            <sz val="9"/>
            <color indexed="81"/>
            <rFont val="Segoe UI"/>
            <family val="2"/>
          </rPr>
          <t>ILA operates as part of a home emergency call service</t>
        </r>
      </text>
    </comment>
    <comment ref="D11" authorId="0" shapeId="0" xr:uid="{CFBAF407-5716-4103-8519-E4711476B66E}">
      <text>
        <r>
          <rPr>
            <sz val="9"/>
            <color indexed="81"/>
            <rFont val="Segoe UI"/>
            <family val="2"/>
          </rPr>
          <t xml:space="preserve">This measure adresses a major risk, but it cannot mitigate it (on its own). </t>
        </r>
      </text>
    </comment>
    <comment ref="F11" authorId="0" shapeId="0" xr:uid="{6FB24C78-752F-4199-81C4-106E9600C190}">
      <text>
        <r>
          <rPr>
            <sz val="9"/>
            <color indexed="81"/>
            <rFont val="Segoe UI"/>
            <family val="2"/>
          </rPr>
          <t>This measure fully solves a major risk.</t>
        </r>
      </text>
    </comment>
    <comment ref="H11" authorId="0" shapeId="0" xr:uid="{0F11BCA8-F3CA-49C1-9AD0-4E30F247BCA8}">
      <text>
        <r>
          <rPr>
            <sz val="9"/>
            <color indexed="81"/>
            <rFont val="Segoe UI"/>
            <family val="2"/>
          </rPr>
          <t xml:space="preserve">This measure adresses a major risk, but it cannot mitigate it (on its own). </t>
        </r>
      </text>
    </comment>
    <comment ref="C12" authorId="0" shapeId="0" xr:uid="{7468E064-6333-4F20-8274-2CA841A1159E}">
      <text>
        <r>
          <rPr>
            <sz val="9"/>
            <color indexed="81"/>
            <rFont val="Segoe UI"/>
            <family val="2"/>
          </rPr>
          <t>Person suffering from dementia lives in his/her own appartment or house</t>
        </r>
      </text>
    </comment>
    <comment ref="D12" authorId="0" shapeId="0" xr:uid="{D5239129-6872-4B84-8980-D2007F1B3ED8}">
      <text>
        <r>
          <rPr>
            <sz val="9"/>
            <color indexed="81"/>
            <rFont val="Segoe UI"/>
            <family val="2"/>
          </rPr>
          <t>This measure fully solves a major risk.</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B2" authorId="0" shapeId="0" xr:uid="{00000000-0006-0000-0300-000001000000}">
      <text>
        <r>
          <rPr>
            <sz val="9"/>
            <color indexed="81"/>
            <rFont val="Segoe UI"/>
            <family val="2"/>
          </rPr>
          <t xml:space="preserve">ILA must provide training material (e.g. videos) in easy language, explaining the contact person's liability and the system's limitations. The documentation should recommend not to use the system if the contact person is ill or unavailable.   </t>
        </r>
      </text>
    </comment>
    <comment ref="E2" authorId="0" shapeId="0" xr:uid="{00000000-0006-0000-0300-000002000000}">
      <text>
        <r>
          <rPr>
            <sz val="9"/>
            <color indexed="81"/>
            <rFont val="Segoe UI"/>
            <family val="2"/>
          </rPr>
          <t>End user documentation of a software system, regardless of the media used for it (printed, online text, video, audio, …). Includes also dedicated training material.</t>
        </r>
      </text>
    </comment>
    <comment ref="F2" authorId="0" shapeId="0" xr:uid="{00000000-0006-0000-0300-000003000000}">
      <text>
        <r>
          <rPr>
            <sz val="9"/>
            <color indexed="81"/>
            <rFont val="Segoe UI"/>
            <family val="2"/>
          </rPr>
          <t xml:space="preserve">Safety primarily means protecting a person against harm. It includes also the subjective feeling of "being well protected". </t>
        </r>
      </text>
    </comment>
    <comment ref="B3" authorId="0" shapeId="0" xr:uid="{00000000-0006-0000-0300-000004000000}">
      <text>
        <r>
          <rPr>
            <sz val="9"/>
            <color indexed="81"/>
            <rFont val="Segoe UI"/>
            <family val="2"/>
          </rPr>
          <t>If there are multiple contact persons, each with limited availability: in that case, ILA's registration process for contact persons must be designed in a such a way that times where none of the contact persons is available, this is immediately visible and obvious. Yes, so and so and so and so on....</t>
        </r>
      </text>
    </comment>
    <comment ref="E3" authorId="0" shapeId="0" xr:uid="{00000000-0006-0000-0300-000005000000}">
      <text>
        <r>
          <rPr>
            <sz val="9"/>
            <color indexed="81"/>
            <rFont val="Segoe UI"/>
            <family val="2"/>
          </rPr>
          <t xml:space="preserve">Any kind of human-computer interface, regardless of technology. Usually based on software (web UI, app, rich client, etc.), but also including hardware interfaces likes switches or buttons. </t>
        </r>
      </text>
    </comment>
    <comment ref="F3" authorId="0" shapeId="0" xr:uid="{00000000-0006-0000-0300-000006000000}">
      <text>
        <r>
          <rPr>
            <sz val="9"/>
            <color indexed="81"/>
            <rFont val="Segoe UI"/>
            <family val="2"/>
          </rPr>
          <t xml:space="preserve">Safety primarily means protecting a person against harm. It includes also the subjective feeling of "being well protected". </t>
        </r>
      </text>
    </comment>
    <comment ref="B4" authorId="0" shapeId="0" xr:uid="{00000000-0006-0000-0300-000007000000}">
      <text>
        <r>
          <rPr>
            <sz val="9"/>
            <color indexed="81"/>
            <rFont val="Segoe UI"/>
            <family val="2"/>
          </rPr>
          <t>Fehler 2015</t>
        </r>
      </text>
    </comment>
    <comment ref="E4" authorId="0" shapeId="0" xr:uid="{00000000-0006-0000-0300-000008000000}">
      <text>
        <r>
          <rPr>
            <sz val="9"/>
            <color indexed="81"/>
            <rFont val="Segoe UI"/>
            <family val="2"/>
          </rPr>
          <t>End user documentation of a software system, regardless of the media used for it (printed, online text, video, audio, …). Includes also dedicated training material.</t>
        </r>
      </text>
    </comment>
    <comment ref="F4" authorId="0" shapeId="0" xr:uid="{00000000-0006-0000-0300-000009000000}">
      <text>
        <r>
          <rPr>
            <sz val="9"/>
            <color indexed="81"/>
            <rFont val="Segoe UI"/>
            <family val="2"/>
          </rPr>
          <t xml:space="preserve">Safety primarily means protecting a person against harm. It includes also the subjective feeling of "being well protected". </t>
        </r>
      </text>
    </comment>
    <comment ref="B5" authorId="0" shapeId="0" xr:uid="{00000000-0006-0000-0300-00000A000000}">
      <text>
        <r>
          <rPr>
            <sz val="9"/>
            <color indexed="81"/>
            <rFont val="Segoe UI"/>
            <family val="2"/>
          </rPr>
          <t>ILA must be able to automatically forward a distress call to an emergency call system.</t>
        </r>
      </text>
    </comment>
    <comment ref="E5" authorId="0" shapeId="0" xr:uid="{00000000-0006-0000-0300-00000B000000}">
      <text>
        <r>
          <rPr>
            <sz val="9"/>
            <color indexed="81"/>
            <rFont val="Segoe UI"/>
            <family val="2"/>
          </rPr>
          <t>Call of an external system in order to obtain additional functionality.</t>
        </r>
      </text>
    </comment>
    <comment ref="F5" authorId="0" shapeId="0" xr:uid="{00000000-0006-0000-0300-00000C000000}">
      <text>
        <r>
          <rPr>
            <sz val="9"/>
            <color indexed="81"/>
            <rFont val="Segoe UI"/>
            <family val="2"/>
          </rPr>
          <t xml:space="preserve">Safety primarily means protecting a person against harm. It includes also the subjective feeling of "being well protected". </t>
        </r>
      </text>
    </comment>
    <comment ref="B6" authorId="0" shapeId="0" xr:uid="{00000000-0006-0000-0300-00000D000000}">
      <text>
        <r>
          <rPr>
            <sz val="9"/>
            <color indexed="81"/>
            <rFont val="Segoe UI"/>
            <family val="2"/>
          </rPr>
          <t>ILA must be able to automatically forward a distress call to an emergency call system.</t>
        </r>
      </text>
    </comment>
    <comment ref="E6" authorId="0" shapeId="0" xr:uid="{00000000-0006-0000-0300-00000E000000}">
      <text>
        <r>
          <rPr>
            <sz val="9"/>
            <color indexed="81"/>
            <rFont val="Segoe UI"/>
            <family val="2"/>
          </rPr>
          <t>A calculus to model a certain behaviour, or solve a problem. There is a grey area between an entity's business logic (belongs to Data Entity) and an Algorithm (which needs so much code that you would write a dedicated class or event service for it).</t>
        </r>
      </text>
    </comment>
    <comment ref="F6" authorId="0" shapeId="0" xr:uid="{00000000-0006-0000-0300-00000F000000}">
      <text>
        <r>
          <rPr>
            <sz val="9"/>
            <color indexed="81"/>
            <rFont val="Segoe UI"/>
            <family val="2"/>
          </rPr>
          <t xml:space="preserve">Safety primarily means protecting a person against harm. It includes also the subjective feeling of "being well protected". </t>
        </r>
      </text>
    </comment>
    <comment ref="B7" authorId="0" shapeId="0" xr:uid="{00000000-0006-0000-0300-000010000000}">
      <text>
        <r>
          <rPr>
            <sz val="9"/>
            <color indexed="81"/>
            <rFont val="Segoe UI"/>
            <family val="2"/>
          </rPr>
          <t>ILA must provide introductory training material for caregivers and nursing home management, explaining recommendations for ILA registration and tracker use within these organisations.</t>
        </r>
      </text>
    </comment>
    <comment ref="E7" authorId="0" shapeId="0" xr:uid="{00000000-0006-0000-0300-000011000000}">
      <text>
        <r>
          <rPr>
            <sz val="9"/>
            <color indexed="81"/>
            <rFont val="Segoe UI"/>
            <family val="2"/>
          </rPr>
          <t>End user documentation of a software system, regardless of the media used for it (printed, online text, video, audio, …). Includes also dedicated training material.</t>
        </r>
      </text>
    </comment>
    <comment ref="F7" authorId="0" shapeId="0" xr:uid="{00000000-0006-0000-0300-000012000000}">
      <text>
        <r>
          <rPr>
            <sz val="9"/>
            <color indexed="81"/>
            <rFont val="Segoe UI"/>
            <family val="2"/>
          </rPr>
          <t>Care is given and decisions and responsibility are taken on behalf of the other – the one in need – to the extent that that person is no longer able to do these things themselves [...].</t>
        </r>
      </text>
    </comment>
    <comment ref="B8" authorId="0" shapeId="0" xr:uid="{00000000-0006-0000-0300-000013000000}">
      <text>
        <r>
          <rPr>
            <sz val="9"/>
            <color indexed="81"/>
            <rFont val="Segoe UI"/>
            <family val="2"/>
          </rPr>
          <t>ILA must provide introductory training material for caregivers and nursing home management, explaining recommendations for ILA registration and tracker use within these organisations.</t>
        </r>
      </text>
    </comment>
    <comment ref="E8" authorId="0" shapeId="0" xr:uid="{00000000-0006-0000-0300-000014000000}">
      <text>
        <r>
          <rPr>
            <sz val="9"/>
            <color indexed="81"/>
            <rFont val="Segoe UI"/>
            <family val="2"/>
          </rPr>
          <t>End user documentation of a software system, regardless of the media used for it (printed, online text, video, audio, …). Includes also dedicated training material.</t>
        </r>
      </text>
    </comment>
    <comment ref="F8" authorId="0" shapeId="0" xr:uid="{00000000-0006-0000-0300-000015000000}">
      <text>
        <r>
          <rPr>
            <sz val="9"/>
            <color indexed="81"/>
            <rFont val="Segoe UI"/>
            <family val="2"/>
          </rPr>
          <t>Care is given and decisions and responsibility are taken on behalf of the other – the one in need – to the extent that that person is no longer able to do these things themselves [...].</t>
        </r>
      </text>
    </comment>
    <comment ref="B9" authorId="0" shapeId="0" xr:uid="{00000000-0006-0000-0300-000016000000}">
      <text>
        <r>
          <rPr>
            <sz val="9"/>
            <color indexed="81"/>
            <rFont val="Segoe UI"/>
            <family val="2"/>
          </rPr>
          <t>ILA must provide introductory training material for caregivers and nursing home management, explaining recommendations for ILA registration and tracker use within these organisations.</t>
        </r>
      </text>
    </comment>
    <comment ref="E9" authorId="0" shapeId="0" xr:uid="{00000000-0006-0000-0300-000017000000}">
      <text>
        <r>
          <rPr>
            <sz val="9"/>
            <color indexed="81"/>
            <rFont val="Segoe UI"/>
            <family val="2"/>
          </rPr>
          <t>End user documentation of a software system, regardless of the media used for it (printed, online text, video, audio, …). Includes also dedicated training material.</t>
        </r>
      </text>
    </comment>
    <comment ref="F9" authorId="0" shapeId="0" xr:uid="{00000000-0006-0000-0300-000018000000}">
      <text>
        <r>
          <rPr>
            <sz val="9"/>
            <color indexed="81"/>
            <rFont val="Segoe UI"/>
            <family val="2"/>
          </rPr>
          <t>The term autonomy […] is nowadays often equated with an individual’s maximum freedom of decision and action.</t>
        </r>
      </text>
    </comment>
    <comment ref="B10" authorId="0" shapeId="0" xr:uid="{0146E930-4FDA-4844-A776-06B0DD357E44}">
      <text>
        <r>
          <rPr>
            <sz val="9"/>
            <color indexed="81"/>
            <rFont val="Segoe UI"/>
            <family val="2"/>
          </rPr>
          <t>ILA must provide data protection even when using cloud services</t>
        </r>
      </text>
    </comment>
    <comment ref="E10" authorId="0" shapeId="0" xr:uid="{C0A9EF96-551A-43F5-BD41-7F3738B9E189}">
      <text>
        <r>
          <rPr>
            <sz val="9"/>
            <color indexed="81"/>
            <rFont val="Segoe UI"/>
            <family val="2"/>
          </rPr>
          <t>Persistent domain entity (in the DDD sense), i.e. an important concept of the business domain with a persistance representation in some kind of database.</t>
        </r>
      </text>
    </comment>
    <comment ref="F10" authorId="0" shapeId="0" xr:uid="{C938A90C-FA65-48CA-A438-6B10C3F54466}">
      <text>
        <r>
          <rPr>
            <sz val="9"/>
            <color indexed="81"/>
            <rFont val="Segoe UI"/>
            <family val="2"/>
          </rPr>
          <t>(1) Transparency: inform data subject about data use. (2) Purpose limitation / minimization: Store as few data as possible, and use it only for its dedicated purpose. (3) Integrity: prevent unauthorized access. (4) The right to be forgotten.</t>
        </r>
      </text>
    </comment>
    <comment ref="B11" authorId="0" shapeId="0" xr:uid="{33F4CC86-869E-4734-9675-92629165296F}">
      <text>
        <r>
          <rPr>
            <sz val="9"/>
            <color indexed="81"/>
            <rFont val="Segoe UI"/>
            <family val="2"/>
          </rPr>
          <t>ILA must provide data protection even when using cloud services</t>
        </r>
      </text>
    </comment>
    <comment ref="E11" authorId="0" shapeId="0" xr:uid="{284AC175-2962-4126-8F07-35400425FD01}">
      <text>
        <r>
          <rPr>
            <sz val="9"/>
            <color indexed="81"/>
            <rFont val="Segoe UI"/>
            <family val="2"/>
          </rPr>
          <t>Any kind of documented interface between software/hardware components, regardless of its technology or protocol.</t>
        </r>
      </text>
    </comment>
    <comment ref="F11" authorId="0" shapeId="0" xr:uid="{494B2EE8-FCD2-4AB6-ADCC-478C9E593D93}">
      <text>
        <r>
          <rPr>
            <sz val="9"/>
            <color indexed="81"/>
            <rFont val="Segoe UI"/>
            <family val="2"/>
          </rPr>
          <t>Opportunity describes an organisation's ability and position to drive innovation, expand its market share, improve customer loyalty, or pursue any other strategic goals.</t>
        </r>
      </text>
    </comment>
    <comment ref="B12" authorId="0" shapeId="0" xr:uid="{BF6712B1-BDFC-4B47-BE0D-0F4B44E90EE5}">
      <text>
        <r>
          <rPr>
            <sz val="9"/>
            <color indexed="81"/>
            <rFont val="Segoe UI"/>
            <family val="2"/>
          </rPr>
          <t>ILA must provide data protection even when using cloud services</t>
        </r>
      </text>
    </comment>
    <comment ref="E12" authorId="0" shapeId="0" xr:uid="{90F6AF2F-A52C-423E-8A08-5FD4E71A4510}">
      <text>
        <r>
          <rPr>
            <sz val="9"/>
            <color indexed="81"/>
            <rFont val="Segoe UI"/>
            <family val="2"/>
          </rPr>
          <t>Fehler 2042</t>
        </r>
      </text>
    </comment>
    <comment ref="F12" authorId="0" shapeId="0" xr:uid="{7895A1C2-CA12-415E-9AB9-F0E68D1E755D}">
      <text>
        <r>
          <rPr>
            <sz val="9"/>
            <color indexed="81"/>
            <rFont val="Segoe UI"/>
            <family val="2"/>
          </rPr>
          <t>(1) Transparency: inform data subject about data use. (2) Purpose limitation / minimization: Store as few data as possible, and use it only for its dedicated purpose. (3) Integrity: prevent unauthorized access. (4) The right to be forgotten.</t>
        </r>
      </text>
    </comment>
    <comment ref="B13" authorId="0" shapeId="0" xr:uid="{0192B007-2CAF-4B54-93C0-D36D71337FC8}">
      <text>
        <r>
          <rPr>
            <sz val="9"/>
            <color indexed="81"/>
            <rFont val="Segoe UI"/>
            <family val="2"/>
          </rPr>
          <t>ILA must provide introductory training material for caregivers, explaining recommendations for ILA registration and tracker use within these organisations.</t>
        </r>
      </text>
    </comment>
    <comment ref="E13" authorId="0" shapeId="0" xr:uid="{0B38F175-2B81-4842-A9F2-2E35C60FB22E}">
      <text>
        <r>
          <rPr>
            <sz val="9"/>
            <color indexed="81"/>
            <rFont val="Segoe UI"/>
            <family val="2"/>
          </rPr>
          <t>End user documentation of a software system, regardless of the media used for it (printed, online text, video, audio, …). Includes also dedicated training material.</t>
        </r>
      </text>
    </comment>
    <comment ref="F13" authorId="0" shapeId="0" xr:uid="{E47ECC0C-B5DC-450B-976A-9D831C39B0BE}">
      <text>
        <r>
          <rPr>
            <sz val="9"/>
            <color indexed="81"/>
            <rFont val="Segoe UI"/>
            <family val="2"/>
          </rPr>
          <t>Care is given and decisions and responsibility are taken on behalf of the other – the one in need – to the extent that that person is no longer able to do these things themselves [...].</t>
        </r>
      </text>
    </comment>
    <comment ref="B14" authorId="0" shapeId="0" xr:uid="{D539E749-6F9E-415C-907F-B19D2154DF88}">
      <text>
        <r>
          <rPr>
            <sz val="9"/>
            <color indexed="81"/>
            <rFont val="Segoe UI"/>
            <family val="2"/>
          </rPr>
          <t>ILA must provide introductory training material for caregivers, explaining recommendations for ILA registration and tracker use within these organisations.</t>
        </r>
      </text>
    </comment>
    <comment ref="E14" authorId="0" shapeId="0" xr:uid="{553913A7-15E2-4B1C-AFED-976441163DF9}">
      <text>
        <r>
          <rPr>
            <sz val="9"/>
            <color indexed="81"/>
            <rFont val="Segoe UI"/>
            <family val="2"/>
          </rPr>
          <t>End user documentation of a software system, regardless of the media used for it (printed, online text, video, audio, …). Includes also dedicated training material.</t>
        </r>
      </text>
    </comment>
    <comment ref="F14" authorId="0" shapeId="0" xr:uid="{15699098-931C-4355-8A99-23EAC0E885D6}">
      <text>
        <r>
          <rPr>
            <sz val="9"/>
            <color indexed="81"/>
            <rFont val="Segoe UI"/>
            <family val="2"/>
          </rPr>
          <t>Care is given and decisions and responsibility are taken on behalf of the other – the one in need – to the extent that that person is no longer able to do these things themselves [...].</t>
        </r>
      </text>
    </comment>
    <comment ref="B15" authorId="0" shapeId="0" xr:uid="{0227F451-E0BE-4200-97D7-D58B2B6A1A2B}">
      <text>
        <r>
          <rPr>
            <sz val="9"/>
            <color indexed="81"/>
            <rFont val="Segoe UI"/>
            <family val="2"/>
          </rPr>
          <t>ILA must provide introductory training material for caregivers, explaining recommendations for ILA registration and tracker use within these organisations.</t>
        </r>
      </text>
    </comment>
    <comment ref="E15" authorId="0" shapeId="0" xr:uid="{695858B0-BDAE-44EA-A1E3-F608FC69EEB5}">
      <text>
        <r>
          <rPr>
            <sz val="9"/>
            <color indexed="81"/>
            <rFont val="Segoe UI"/>
            <family val="2"/>
          </rPr>
          <t>End user documentation of a software system, regardless of the media used for it (printed, online text, video, audio, …). Includes also dedicated training material.</t>
        </r>
      </text>
    </comment>
    <comment ref="F15" authorId="0" shapeId="0" xr:uid="{F5999356-0F8F-42B7-BCE6-E9375756D020}">
      <text>
        <r>
          <rPr>
            <sz val="9"/>
            <color indexed="81"/>
            <rFont val="Segoe UI"/>
            <family val="2"/>
          </rPr>
          <t>The term autonomy […] is nowadays often equated with an individual’s maximum freedom of decision and action.</t>
        </r>
      </text>
    </comment>
  </commentList>
</comments>
</file>

<file path=xl/sharedStrings.xml><?xml version="1.0" encoding="utf-8"?>
<sst xmlns="http://schemas.openxmlformats.org/spreadsheetml/2006/main" count="533" uniqueCount="280">
  <si>
    <t>Care</t>
  </si>
  <si>
    <t>Autonomy</t>
  </si>
  <si>
    <t>Safety</t>
  </si>
  <si>
    <t>Fairness</t>
  </si>
  <si>
    <t>Privacy</t>
  </si>
  <si>
    <t>Participation</t>
  </si>
  <si>
    <t>Self-Conception</t>
  </si>
  <si>
    <t>Profitability</t>
  </si>
  <si>
    <t>Opportunity</t>
  </si>
  <si>
    <t>Stakeholder</t>
  </si>
  <si>
    <t>Level</t>
  </si>
  <si>
    <t>Criterion</t>
  </si>
  <si>
    <t>C</t>
  </si>
  <si>
    <t>Abbreviations</t>
  </si>
  <si>
    <t>S</t>
  </si>
  <si>
    <t>Scenario</t>
  </si>
  <si>
    <t>G</t>
  </si>
  <si>
    <t>Goal</t>
  </si>
  <si>
    <t>R</t>
  </si>
  <si>
    <t>Risk</t>
  </si>
  <si>
    <t>Number</t>
  </si>
  <si>
    <t>Kind of Effect</t>
  </si>
  <si>
    <t>strongly negative</t>
  </si>
  <si>
    <t>none</t>
  </si>
  <si>
    <t>No effect</t>
  </si>
  <si>
    <t>slightly negative</t>
  </si>
  <si>
    <t>What does that mean for a person?</t>
  </si>
  <si>
    <t>What does that mean for an organisation?</t>
  </si>
  <si>
    <t>slightly positive</t>
  </si>
  <si>
    <t>strongly positive</t>
  </si>
  <si>
    <t>ID</t>
  </si>
  <si>
    <t>by …</t>
  </si>
  <si>
    <t>For Stakeholder …</t>
  </si>
  <si>
    <t>I</t>
  </si>
  <si>
    <t>O</t>
  </si>
  <si>
    <t>What does that mean for society?</t>
  </si>
  <si>
    <t>The term autonomy […] is nowadays often equated with an individual’s maximum freedom of decision and action.</t>
  </si>
  <si>
    <t>Care is given and decisions and responsibility are taken on behalf of the other – the one in need – to the extent that that person is no longer able to do these things themselves [...].</t>
  </si>
  <si>
    <t>Caregiver</t>
  </si>
  <si>
    <t>Nursing Home</t>
  </si>
  <si>
    <t>Health Insurance</t>
  </si>
  <si>
    <t>ILA Startup</t>
  </si>
  <si>
    <t>Society</t>
  </si>
  <si>
    <t xml:space="preserve">Fairness means that the same standards are applied to everyone, and that ressources are provided according to degree of neediness. </t>
  </si>
  <si>
    <t>Participation […] means providing people with access, rights, services, and assets that enable them to live together with other people in society.</t>
  </si>
  <si>
    <t>Letter</t>
  </si>
  <si>
    <t>Meaning</t>
  </si>
  <si>
    <t>Dimension</t>
  </si>
  <si>
    <t>I, S</t>
  </si>
  <si>
    <t>O, S</t>
  </si>
  <si>
    <t>I, O, S</t>
  </si>
  <si>
    <t xml:space="preserve">Profitability means an organisation's ability to fund its operations and strategic development out of its revenues. </t>
  </si>
  <si>
    <t>Person Suffering From Dementia</t>
  </si>
  <si>
    <t>System might affect …</t>
  </si>
  <si>
    <t>Type</t>
  </si>
  <si>
    <t>Person suffering from dementia lives in his/her own appartment or house</t>
  </si>
  <si>
    <t>Person suffering from dementia lives in in a nursing home</t>
  </si>
  <si>
    <t>Contact Person</t>
  </si>
  <si>
    <t>Closeness Of Contact Person</t>
  </si>
  <si>
    <t>One main contact person living in same household or nearby, frequently available, and capable of helping</t>
  </si>
  <si>
    <t>Several contact persons, not all living nearby, not all frequently available</t>
  </si>
  <si>
    <t xml:space="preserve">Legal Status </t>
  </si>
  <si>
    <t xml:space="preserve">Place Of Residence </t>
  </si>
  <si>
    <t>Person suffering from dementia is still legally competent to sign any documents</t>
  </si>
  <si>
    <t>Person suffering from dementia is under guardianship</t>
  </si>
  <si>
    <t>for the following reason (in the best case for positive effects, in the worst case for negative effects) …</t>
  </si>
  <si>
    <t>If ILA is implemented improperly, a contact person or an unauthorized 3rd party could track the movements of the person suffering from dementia.</t>
  </si>
  <si>
    <t xml:space="preserve">Every time ILA produces "false alerts", the person suffering from dementia will feel checked on, or micro-managed (because a contact persons appears offering help that the person does not need in this moment). In the worst case, ILA might be perceived as a system that allows an external person to control one's movements. </t>
  </si>
  <si>
    <t>In the best case scenario, ILA might give a contact person some "peace of mind" with regard to the well-being of a related person suffering from dementia. ILA might help the contact person to better handle a great responsibility.</t>
  </si>
  <si>
    <t xml:space="preserve">The constant risk of being alerted might severely impact the contact person's freedom to plan her own time. This effect would get worse if ILA produces many false alerts. </t>
  </si>
  <si>
    <t>S-2.2</t>
  </si>
  <si>
    <t>S-1.2</t>
  </si>
  <si>
    <t>If there are several contact persons sharing the responsibility, in the worst case one contact might have to handle a lot more load than others.</t>
  </si>
  <si>
    <t xml:space="preserve">If ILA produces many false alerts, the frequent calls for support might cause considerable effort for the contact person. </t>
  </si>
  <si>
    <t xml:space="preserve">If ILA fulfills its promises, there will be less situations where a caregiver feels she should prevent a patient with dementia from going outside (for safety reasons, and with subtle means, as this is officially illegal). </t>
  </si>
  <si>
    <t xml:space="preserve">Administration of ILA (handling of GPS sensor, battery monitoring and change, administration of data, …) might require some effort from the contact person. </t>
  </si>
  <si>
    <t>Nursing  Home Management</t>
  </si>
  <si>
    <t>Does the system save effort (time, money, responsibilities, …), or does it require additional resources for its operation (compared to a situation without the system)?</t>
  </si>
  <si>
    <t>Liability</t>
  </si>
  <si>
    <t xml:space="preserve">In the best case scenario, with the help of ILA there might be less situations where an inhabitant of the nursing home goes missing, and the police needs to be notified. </t>
  </si>
  <si>
    <t>If the nursing home is in any way (co-)responsible for the introduction and use of ILA, any failure might backfire and cast a bad light on the management.</t>
  </si>
  <si>
    <t>Administration of ILA (handling of GPS sensor, battery monitoring and change, administration of data, …) might require some effort from the nursing home management, if the operation of ILA is in their hands.</t>
  </si>
  <si>
    <t>Scen1</t>
  </si>
  <si>
    <t>Scen2</t>
  </si>
  <si>
    <t>S-4.3</t>
  </si>
  <si>
    <t>S-4.2</t>
  </si>
  <si>
    <t>Opportunity describes an organisation's ability and position to drive innovation, expand its market share, improve customer loyalty, or pursue any other strategic goals.</t>
  </si>
  <si>
    <t>If the registration process for ILA requires the person suffering from dementia to go to unusual places (e.g. the nursing home management office), this process might be perceived as uncomfortable. If the person is confused, she might e.g. think that she has done something wrong, and is about to be "punished".</t>
  </si>
  <si>
    <t xml:space="preserve">In case ILA is a service covered by health insurance, then there is a risk of unfair treatment of patients with regard to who is entitled to it. </t>
  </si>
  <si>
    <t>If ILA is offered as an innovative health insurance service, the insurance's reputation is at stake in case something goes wrong.</t>
  </si>
  <si>
    <t>In the best possible case, ILA will contribute to persons suffering from dementia living longer in their own home, thus saving cost for the health insurance.</t>
  </si>
  <si>
    <t>If ILA is sucessful, the insurance's reputation may benefit for offering such an innovative service.</t>
  </si>
  <si>
    <t>ILA Operation</t>
  </si>
  <si>
    <t>ILA Sponsorship</t>
  </si>
  <si>
    <t>ILA is paid for by the person suffering from dementia, or a relative</t>
  </si>
  <si>
    <t>ILA is paid for by the health insurance</t>
  </si>
  <si>
    <t>ILA is run as a stand-alone platform, administered by a contact person</t>
  </si>
  <si>
    <t>ILA operates as part of a home emergency call service</t>
  </si>
  <si>
    <t>ILA is run as a stand-alone platform, offered as a nursing home service and administed by the nursing home</t>
  </si>
  <si>
    <t>S-5.2</t>
  </si>
  <si>
    <t xml:space="preserve">The ILA provider will earn money with the product. </t>
  </si>
  <si>
    <t xml:space="preserve">The company behind ILA will run an existential risk in case anything goes wrong. </t>
  </si>
  <si>
    <t>Any privacy breach is a potential violation of GDPR laws.</t>
  </si>
  <si>
    <t xml:space="preserve">If there are data leaks in ILA, and personal data of health insurance customers get into the wrong hands, the health insurance might contributed to a GDPR laws violation. </t>
  </si>
  <si>
    <t xml:space="preserve">A B2B connection to ILA might cause severe technical efforts for the home emergency call system operator (APIs, connectivity functionality). </t>
  </si>
  <si>
    <t>The business model of the home emergency call system might have to be changed in order to work together with ILA (integration with the mobile emergency service).</t>
  </si>
  <si>
    <t>If ILA works as planned, a timely intervention may stop a challenging situation (say, a panic attack) into escalating into an actual emergency.</t>
  </si>
  <si>
    <t>Emergency Call System Operator</t>
  </si>
  <si>
    <t>If ILA operation is coupled to an emergency call system, there might be additional technical constraints on hardware and support model, affecting profitability.</t>
  </si>
  <si>
    <t>The interface between ILA and emergency call system operator might a risk for data leaks, if poorly implemented.</t>
  </si>
  <si>
    <t xml:space="preserve">ILA has the potential to generelly improve autonomy of persons suffering from dementia, if rolled out on a broad scale. </t>
  </si>
  <si>
    <t xml:space="preserve">ILA has the potential to generelly improve particicaption of persons suffering from dementia, if rolled out on a broad scale. </t>
  </si>
  <si>
    <t>If poorly implemented, ILA might contribute to a general loss of privacy by technical support solutions.</t>
  </si>
  <si>
    <t>ILA might be perceived as a value-adding feature to an early-adopting emergency call systems, improving its market position compared to competitors.</t>
  </si>
  <si>
    <t>Selling ILA as a value adding feature might generate an additional profit for the emergency call operator.</t>
  </si>
  <si>
    <t xml:space="preserve">The technical effort for connecting ILA might be more costly than the additional revenue. </t>
  </si>
  <si>
    <t>Requirement</t>
  </si>
  <si>
    <t>RQ</t>
  </si>
  <si>
    <t>In case ILA does not fulfill its promise to quickly provide support and help in a challenging situation, a person suffering from dementia may perceive this as a kind of betrayal - this way her subjective sense of safety might be severely impacted.</t>
  </si>
  <si>
    <t xml:space="preserve">ILA must provide training material (e.g. videos) in easy language, explaining the contact person's liability and the system's limitations. The documentation should recommend not to use the system if the contact person is ill or unavailable.   </t>
  </si>
  <si>
    <t>ILA must be able to automatically forward a distress call to an emergency call system.</t>
  </si>
  <si>
    <t xml:space="preserve">Safety primarily means protecting a person against harm. It includes also the subjective feeling of "being well protected". </t>
  </si>
  <si>
    <t>Stakeholder:</t>
  </si>
  <si>
    <t xml:space="preserve">Dimension: </t>
  </si>
  <si>
    <t>A person suffering from dementia can leave her living quarters with the assurance that she will be helped, in case she loses her way, or has a panic attack. In addition, caregivers or relatives have less incentives to keep the person from going out (for safety reasons, in a more or less subtle manner).</t>
  </si>
  <si>
    <t>Realization</t>
  </si>
  <si>
    <t>Potential</t>
  </si>
  <si>
    <t>Explanation</t>
  </si>
  <si>
    <t>This measure contributes to a major goal, but is not sufficient to realize it (on its own).</t>
  </si>
  <si>
    <t>Index</t>
  </si>
  <si>
    <t>This measure fully realizes a minor goal.</t>
  </si>
  <si>
    <t>This measure adresses a major risk, and makes it less severe.</t>
  </si>
  <si>
    <t>This measure fully solves a minor risk.</t>
  </si>
  <si>
    <t>This measure fully solves a major risk.</t>
  </si>
  <si>
    <t xml:space="preserve">This measure adresses a major risk, but it cannot mitigate it (on its own). </t>
  </si>
  <si>
    <t xml:space="preserve">This measure adresses a minor risk, but it cannot mitigate it (on its own). </t>
  </si>
  <si>
    <t>This measure contributes to a minor goal, but is not sufficient to realize it (on its own).</t>
  </si>
  <si>
    <t>This measure partially realizes a major goal.</t>
  </si>
  <si>
    <t>This measure fully realizes a major goal.</t>
  </si>
  <si>
    <t>This cannot happen.</t>
  </si>
  <si>
    <t>Realization Explanation</t>
  </si>
  <si>
    <t>RQ004</t>
  </si>
  <si>
    <t>Similar to the autonomy gain, the option to freely leave one's home makes it easier for the person suffering from dementia to participate in social events, without being accompanied by a relative or a caregiver.</t>
  </si>
  <si>
    <t>The person herself, and nearly all persons around her, notice a clear improvement in the person's physical or mental well-being, financial situation, or social context.</t>
  </si>
  <si>
    <t>The person herself, or some persons around her, notice a slight improvement on certain aspects of the person's physical or mental well-being, financial situation, or social context.</t>
  </si>
  <si>
    <t>The person herself, or some persons around her, notice slight risks for, or a slight degradation of, a person's well-being, financial situation, or social context.</t>
  </si>
  <si>
    <t>The person herself, and nearly all persons around her, notice strong risks for, or a clear degradation of, a person's well-being, financial situation, or social context.</t>
  </si>
  <si>
    <t>Individual stakeholders report a slight improvement in some organisational aspect (processes, workforce, finance, market situation, …). The effect is not necessarily noticed by everyone in the organisation, nor does it have to show clearly in the usual indicators.</t>
  </si>
  <si>
    <t>Some stakeholders of the organisation report some additional strain or risks (additional workload, costs, organisational hassle, market risks, financial risks, ...). The effect is not necessarily noticed by everyone in the organisation, nor does it have to show clearly in the usual indicators.</t>
  </si>
  <si>
    <t>Multiple stakeholders independently report substantial additional strain or risks (workload, costs, organisational hassle, market risks, financial risks, ...). The effect is noticed throughout the organisation, and can be clearly measured by indicators.</t>
  </si>
  <si>
    <t>Multiple stakeholders independently report a substantial  improvement in some organisational aspect (processes, workforce, finance, market situation, …). The effect can be clearly measured by the usual indicators.</t>
  </si>
  <si>
    <t>Members of the same societal group consistently report substantial improvements in some aspect. The effect can be clearly measured by indicators.</t>
  </si>
  <si>
    <t>Some members of a societal group report slight improvements in some aspect. The effect does not necessarily show up in any indicator.</t>
  </si>
  <si>
    <t>Some members of a societal group report additional strain or risks in some aspect. The effect does not necessarily show up in any indicator.</t>
  </si>
  <si>
    <t>Members of the same societal group consistently report substantial additional strain or risks in some aspect. The effect can be clearly measured by indicators.</t>
  </si>
  <si>
    <t>(1) Transparency: inform data subject about data use. (2) Purpose limitation / minimization: Store as few data as possible, and use it only for its dedicated purpose. (3) Integrity: prevent unauthorized access. (4) The right to be forgotten.</t>
  </si>
  <si>
    <t>Costs &amp; Benefits</t>
  </si>
  <si>
    <t xml:space="preserve">A persons' freedom to evaluate and perceive herself according to her own personal mental model. Strongly related is the perceived self-efficacy, the expectation to successfully carry out intended acts based on one's competences. </t>
  </si>
  <si>
    <t>Social Impact</t>
  </si>
  <si>
    <t>The information about the dementia illness might used improperly, e.g. for marketing purposes.</t>
  </si>
  <si>
    <t xml:space="preserve">If ILA is implemented improperly, personal information about a contact person could be leaked to a 3rd party, e.g. for marketing purposes. </t>
  </si>
  <si>
    <t>If the data is not deleted from ILA's data bases after termination of an ILA account, undesired effects (like false alerts) might occur.</t>
  </si>
  <si>
    <t>The idea that "my data is stored somewhere" might alienate the person suffering from dementia.</t>
  </si>
  <si>
    <t xml:space="preserve">If ILA is difficult to administrate, and/or is unreliable in execution, the contact person may get a feeling of "being too stupid to use the system properly". </t>
  </si>
  <si>
    <t>If ILA reliably informs about exceptional situations, it will effectively support the contact person to be a "guardian angel". In that case, the contact person can feel good about her own role.</t>
  </si>
  <si>
    <t>A caregiver may feel better about her own role, if she can allow to let a person suffering from dementia leave the nursing home at any time, with less worries about risks.</t>
  </si>
  <si>
    <t>A properly working ILA will allow the acting persons in nursing home management to provide "care" in the pure sense of the word, giving persons suffering from dementia more autononomy, and having to restrain their movements less frequently. 
will be more in sync with their</t>
  </si>
  <si>
    <t xml:space="preserve">The overall promise of a properly working ILA is supports a health insurance's self image as an "organisation intended to help by innovative means". </t>
  </si>
  <si>
    <t>Location with Alert Button</t>
  </si>
  <si>
    <t>Alert Button User</t>
  </si>
  <si>
    <t xml:space="preserve">If ILA requires the alarm button user to register in the system, she might worry what data is stored about her, and where. </t>
  </si>
  <si>
    <t>If the alert button user's data is not deleted from ILA's data bases after termination of an ILA account, undesired effects (like being contacted for no reason) might occur.</t>
  </si>
  <si>
    <t>If the contact person's data is not deleted from ILA's data bases after termination of an ILA account, undesired effects (like false alerts) might occur.</t>
  </si>
  <si>
    <t xml:space="preserve">If ILA is implemented improperly, personal information about an alert button user could be leaked to a 3rd party, e.g. for marketing purposes. </t>
  </si>
  <si>
    <t>An employee in a location with alert button might fear to have her actions tracked and judged - has she reacted properly if a person suffering from dementia has had a panic attack in her shop?</t>
  </si>
  <si>
    <t>An employee in a location may feel relieved that she an just hit the alert button if a person suffering from dementia has a panic attack in her shop. It saves her the troubles to call for help through other channels.</t>
  </si>
  <si>
    <t>A shop or a medical practice could perceive ILA as a way of "doing good".</t>
  </si>
  <si>
    <t>A shop or a medical practice might fear legal risks of an alert button - can the shop / practice be sued if the alert button is NOT hit in time?</t>
  </si>
  <si>
    <t>Administration of an alert button may cause additional efforts for the shop's / practice's organisation.</t>
  </si>
  <si>
    <t>The alert button(s) may cost money to purchase for the shop / practice.</t>
  </si>
  <si>
    <t>If ILA works well, an alert button may save money and efforts for the shop / practice in case of exceptional situations with customers suffering from dementia.</t>
  </si>
  <si>
    <t>The idea that "my data is stored somewhere" might be frightening for a contact person.</t>
  </si>
  <si>
    <t>If the nursing home manager's data is not deleted from ILA's data bases after termination of an ILA account, undesired effects (like false alerts) might occur.</t>
  </si>
  <si>
    <t>The idea that "my data is stored somewhere" might worry a nursing home manager.</t>
  </si>
  <si>
    <t>If the shop / practice's data is not deleted from ILA's data bases after termination of an ILA account, undesired effects (like false alerts) might occur.</t>
  </si>
  <si>
    <t>If ILA is implemented improperly, personal information about the shop / practice could be leaked to a 3rd party, e.g. for marketing purposes. This is an especially severe risk for medical practices, where information about patients is very sensitive.</t>
  </si>
  <si>
    <t>If ILA is implemented improperly, personal information about a someone from nursing home management could be leaked to a 3rd party, e.g. for marketing purposes. This is an severe risk for nursing home, where information about patients is very sensitive.</t>
  </si>
  <si>
    <t>Origin</t>
  </si>
  <si>
    <t>The idea that "my data is stored somewhere" might cause worry for a shop or practice, esp. if it deals with sensitive personal information (e.g. a doctor's practice).</t>
  </si>
  <si>
    <t>Nr.</t>
  </si>
  <si>
    <t>Description</t>
  </si>
  <si>
    <t>I =</t>
  </si>
  <si>
    <t>individual level</t>
  </si>
  <si>
    <t>O =</t>
  </si>
  <si>
    <t>S =</t>
  </si>
  <si>
    <t>societal level</t>
  </si>
  <si>
    <t>organisational level</t>
  </si>
  <si>
    <t># Goals/Risks</t>
  </si>
  <si>
    <t>Summe</t>
  </si>
  <si>
    <t>Team 1</t>
  </si>
  <si>
    <t>Team 2</t>
  </si>
  <si>
    <t>Team 3</t>
  </si>
  <si>
    <t>Team 4</t>
  </si>
  <si>
    <t>Registration</t>
  </si>
  <si>
    <t>Zone Alert System</t>
  </si>
  <si>
    <t>Broadcast System</t>
  </si>
  <si>
    <t>Alert Button</t>
  </si>
  <si>
    <t>Domains</t>
  </si>
  <si>
    <t>Domain</t>
  </si>
  <si>
    <t>Data Entity</t>
  </si>
  <si>
    <t>API</t>
  </si>
  <si>
    <t>UI</t>
  </si>
  <si>
    <t>Algorithm</t>
  </si>
  <si>
    <t>Process</t>
  </si>
  <si>
    <t>Documentation</t>
  </si>
  <si>
    <t>covered?</t>
  </si>
  <si>
    <t>Persistent domain entity (in the DDD sense), i.e. an important concept of the business domain with a persistance representation in some kind of database.</t>
  </si>
  <si>
    <t>Any kind of documented interface between software/hardware components, regardless of its technology or protocol.</t>
  </si>
  <si>
    <t xml:space="preserve">Any kind of human-computer interface, regardless of technology. Usually based on software (web UI, app, rich client, etc.), but also including hardware interfaces likes switches or buttons. </t>
  </si>
  <si>
    <t>A calculus to model a certain behaviour, or solve a problem. There is a grey area between an entity's business logic (belongs to Data Entity) and an Algorithm (which needs so much code that you would write a dedicated class or event service for it).</t>
  </si>
  <si>
    <t>A centrally orchestrated sequence of business events, implemented in whatever technology (BPMN, code, …). The process activities involve calls to Data Entities, APIs, or Algorithms.</t>
  </si>
  <si>
    <t>End user documentation of a software system, regardless of the media used for it (printed, online text, video, audio, …). Includes also dedicated training material.</t>
  </si>
  <si>
    <t>Component Type</t>
  </si>
  <si>
    <r>
      <t>Social Impact</t>
    </r>
    <r>
      <rPr>
        <i/>
        <sz val="11"/>
        <color theme="1"/>
        <rFont val="Calibri"/>
        <family val="2"/>
        <scheme val="minor"/>
      </rPr>
      <t xml:space="preserve"> (Source: MEESTAR)</t>
    </r>
  </si>
  <si>
    <t>RQ001</t>
  </si>
  <si>
    <t>RQ002</t>
  </si>
  <si>
    <t>RQ003</t>
  </si>
  <si>
    <t>** to be decided **</t>
  </si>
  <si>
    <t>Provide video in easy language about how the alert mechanism in ILA works, targeted at potential contact persons. The video should explain how much depends on the contact person's timely reaction.</t>
  </si>
  <si>
    <t xml:space="preserve">Provide video in easy language that explains the importance of contact persons' availability, in case there is more than one contact person. </t>
  </si>
  <si>
    <t xml:space="preserve">If there are multiple contact persons, each with limited availability: in that case, ILA's registration process for contact persons must be designed in a such a way that times where none of the contact persons is available, this is immediately visible and obvious. </t>
  </si>
  <si>
    <t>API Call</t>
  </si>
  <si>
    <t>Call of an external system in order to obtain additional functionality.</t>
  </si>
  <si>
    <t>There must be a synchronous call to the external API of an emergency call system (like by Malteser, Johanniter, DRK, …). All necessery data (patient identification and location) need to be transmitted as well.</t>
  </si>
  <si>
    <t>Create an algorithm that decides when none of the registered contact persons will react in time. If so, place the API call to the emergency call system. The algorithm needs to deal with situations like a contact person reacting later - what to do with the emergency system call in that case?</t>
  </si>
  <si>
    <t>Adresses</t>
  </si>
  <si>
    <t>ILA must provide introductory training material for caregivers and nursing home management, explaining recommendations for ILA registration and tracker use within these organisations.</t>
  </si>
  <si>
    <t>Provide video in easy language, targeted at caregivers in nursing homes, explaining how to avoid confusing situations (for the patients suffering from dementia) with the ILA registration process.</t>
  </si>
  <si>
    <t>Epic Text</t>
  </si>
  <si>
    <t>Epic Title</t>
  </si>
  <si>
    <t>Provide video in easy language, targeted at contact persons and caregivers in nursing homes, explaining how to deal with trackers implanted in the patients' shoes (maintenance etc.)</t>
  </si>
  <si>
    <t>Design a Contact Person Availability UI element in such a way that gaps in contact person availability are immediately obvious. E.g. use a timeline with coloured availability bars for different contact persons.</t>
  </si>
  <si>
    <t>Video on alert mechanism</t>
  </si>
  <si>
    <t>UI for contact person availability</t>
  </si>
  <si>
    <t>Video explaining need for timely intervention</t>
  </si>
  <si>
    <t>API call to external emergency call system</t>
  </si>
  <si>
    <t>Broadcast scheduling algorithm with call to emergency system</t>
  </si>
  <si>
    <t>Video on registration process in nursing homes</t>
  </si>
  <si>
    <t>Video on tracker maintenance</t>
  </si>
  <si>
    <t>Video on ILA benefits</t>
  </si>
  <si>
    <t xml:space="preserve">Create a video in easy language, describing the ILA benefits for persons suffering from dementia in terms of autonomy and participation. </t>
  </si>
  <si>
    <t>A Data Privacy failure in ILA might be a legal problem for the nursing home owner, if the nursing home is in any way (co-)responsible for the introduction and use of ILA.</t>
  </si>
  <si>
    <t xml:space="preserve">If ILA is successful, the startup behind ILA will be able to grow. </t>
  </si>
  <si>
    <t>RQ005</t>
  </si>
  <si>
    <t>ILA must provide data protection even when using cloud services</t>
  </si>
  <si>
    <t>S-1.1</t>
  </si>
  <si>
    <t>RQ006</t>
  </si>
  <si>
    <t>ILA must provide introductory training material for caregivers, explaining recommendations for ILA registration and tracker use within these organisations.</t>
  </si>
  <si>
    <t>R50</t>
  </si>
  <si>
    <t>G51</t>
  </si>
  <si>
    <t>R52</t>
  </si>
  <si>
    <t>G53</t>
  </si>
  <si>
    <t>R54</t>
  </si>
  <si>
    <t>E009</t>
  </si>
  <si>
    <t>Data Entity Protection</t>
  </si>
  <si>
    <t>Data especially personal data needs to be protected from unauthorized access.</t>
  </si>
  <si>
    <t>E010</t>
  </si>
  <si>
    <t>Scalability &amp; Reliablity</t>
  </si>
  <si>
    <t>The API should be fast and provide the opportunity to grow with the company</t>
  </si>
  <si>
    <t>E011</t>
  </si>
  <si>
    <t>Archiving</t>
  </si>
  <si>
    <t>Handling of all data which must be archived. (leagal issues)</t>
  </si>
  <si>
    <t>Legally justified archiving</t>
  </si>
  <si>
    <t>Which data should be stored, how, where and for how long in order to meet the legal requirements.</t>
  </si>
  <si>
    <t>E013</t>
  </si>
  <si>
    <t>E014</t>
  </si>
  <si>
    <t>Web based manual on registration process</t>
  </si>
  <si>
    <t>Provide manual in easy language, targeted at caregivers, explaining how to avoid confusing situations (for the patients suffering from dementia) with the ILA registration process.</t>
  </si>
  <si>
    <t>Web based manual on tracker maintenance</t>
  </si>
  <si>
    <t>Provide manual in easy language, targeted at contact persons and caregivers, explaining how to deal with trackers implanted in the patients' shoes (maintenance etc.)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</si>
</sst>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
    <numFmt numFmtId="165" formatCode="\+0;\-0;&quot;&quot;"/>
  </numFmts>
  <fonts count="15" x14ac:knownFonts="1">
    <font>
      <sz val="11"/>
      <color theme="1"/>
      <name val="Calibri"/>
      <family val="2"/>
      <scheme val="minor"/>
    </font>
    <font>
      <b/>
      <sz val="11"/>
      <color theme="1"/>
      <name val="Calibri"/>
      <family val="2"/>
      <scheme val="minor"/>
    </font>
    <font>
      <sz val="8"/>
      <color theme="1"/>
      <name val="Calibri"/>
      <family val="2"/>
      <scheme val="minor"/>
    </font>
    <font>
      <sz val="11"/>
      <color theme="0"/>
      <name val="Calibri"/>
      <family val="2"/>
      <scheme val="minor"/>
    </font>
    <font>
      <sz val="9"/>
      <color indexed="81"/>
      <name val="Segoe UI"/>
      <family val="2"/>
    </font>
    <font>
      <b/>
      <sz val="9"/>
      <color indexed="81"/>
      <name val="Segoe UI"/>
      <family val="2"/>
    </font>
    <font>
      <b/>
      <sz val="14"/>
      <color theme="8"/>
      <name val="Calibri"/>
      <family val="2"/>
      <scheme val="minor"/>
    </font>
    <font>
      <sz val="11"/>
      <color theme="0" tint="-0.14999847407452621"/>
      <name val="Calibri"/>
      <family val="2"/>
      <scheme val="minor"/>
    </font>
    <font>
      <sz val="11"/>
      <color rgb="FF000000"/>
      <name val="Calibri"/>
      <family val="2"/>
    </font>
    <font>
      <sz val="9"/>
      <color theme="1"/>
      <name val="Calibri"/>
      <family val="2"/>
      <scheme val="minor"/>
    </font>
    <font>
      <b/>
      <sz val="12"/>
      <color theme="1"/>
      <name val="Calibri"/>
      <family val="2"/>
      <scheme val="minor"/>
    </font>
    <font>
      <i/>
      <sz val="11"/>
      <color theme="1"/>
      <name val="Calibri"/>
      <family val="2"/>
      <scheme val="minor"/>
    </font>
    <font>
      <sz val="6"/>
      <color theme="1"/>
      <name val="Calibri"/>
      <family val="2"/>
      <scheme val="minor"/>
    </font>
    <font>
      <b/>
      <sz val="11"/>
      <color theme="0"/>
      <name val="Calibri"/>
      <family val="2"/>
      <scheme val="minor"/>
    </font>
    <font>
      <b/>
      <sz val="11"/>
      <name val="Calibri"/>
      <family val="2"/>
      <scheme val="minor"/>
    </font>
  </fonts>
  <fills count="15">
    <fill>
      <patternFill patternType="none"/>
    </fill>
    <fill>
      <patternFill patternType="gray125"/>
    </fill>
    <fill>
      <patternFill patternType="solid">
        <fgColor theme="4" tint="0.79998168889431442"/>
        <bgColor indexed="64"/>
      </patternFill>
    </fill>
    <fill>
      <patternFill patternType="solid">
        <fgColor theme="7" tint="0.79998168889431442"/>
        <bgColor indexed="64"/>
      </patternFill>
    </fill>
    <fill>
      <patternFill patternType="solid">
        <fgColor rgb="FFFFFFCC"/>
        <bgColor indexed="64"/>
      </patternFill>
    </fill>
    <fill>
      <patternFill patternType="solid">
        <fgColor theme="0" tint="-0.14999847407452621"/>
        <bgColor indexed="64"/>
      </patternFill>
    </fill>
    <fill>
      <patternFill patternType="solid">
        <fgColor rgb="FFF8696B"/>
        <bgColor indexed="64"/>
      </patternFill>
    </fill>
    <fill>
      <patternFill patternType="solid">
        <fgColor theme="7" tint="0.39997558519241921"/>
        <bgColor indexed="64"/>
      </patternFill>
    </fill>
    <fill>
      <patternFill patternType="solid">
        <fgColor theme="1" tint="0.499984740745262"/>
        <bgColor indexed="64"/>
      </patternFill>
    </fill>
    <fill>
      <patternFill patternType="solid">
        <fgColor theme="4" tint="0.39997558519241921"/>
        <bgColor indexed="64"/>
      </patternFill>
    </fill>
    <fill>
      <patternFill patternType="solid">
        <fgColor theme="0"/>
        <bgColor indexed="64"/>
      </patternFill>
    </fill>
    <fill>
      <patternFill patternType="solid">
        <fgColor rgb="FFBBE3C5"/>
        <bgColor indexed="64"/>
      </patternFill>
    </fill>
    <fill>
      <patternFill patternType="solid">
        <fgColor rgb="FFFBB3B5"/>
        <bgColor indexed="64"/>
      </patternFill>
    </fill>
    <fill>
      <patternFill patternType="solid">
        <fgColor rgb="FF63BE7B"/>
        <bgColor indexed="64"/>
      </patternFill>
    </fill>
    <fill>
      <patternFill patternType="solid">
        <fgColor rgb="FFFFFFFF"/>
        <bgColor indexed="64"/>
      </patternFill>
    </fill>
  </fills>
  <borders count="15">
    <border>
      <left/>
      <right/>
      <top/>
      <bottom/>
      <diagonal/>
    </border>
    <border>
      <left style="thin">
        <color indexed="64"/>
      </left>
      <right/>
      <top/>
      <bottom/>
      <diagonal/>
    </border>
    <border>
      <left/>
      <right/>
      <top/>
      <bottom style="double">
        <color indexed="64"/>
      </bottom>
      <diagonal/>
    </border>
    <border>
      <left/>
      <right style="double">
        <color indexed="64"/>
      </right>
      <top/>
      <bottom style="double">
        <color indexed="64"/>
      </bottom>
      <diagonal/>
    </border>
    <border>
      <left style="thin">
        <color indexed="64"/>
      </left>
      <right/>
      <top/>
      <bottom style="double">
        <color indexed="64"/>
      </bottom>
      <diagonal/>
    </border>
    <border>
      <left style="thin">
        <color indexed="64"/>
      </left>
      <right/>
      <top style="double">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n">
        <color indexed="64"/>
      </bottom>
      <diagonal/>
    </border>
    <border>
      <left/>
      <right/>
      <top/>
      <bottom style="medium">
        <color indexed="64"/>
      </bottom>
      <diagonal/>
    </border>
    <border>
      <left/>
      <right/>
      <top/>
      <bottom style="double">
        <color indexed="8"/>
      </bottom>
      <diagonal/>
    </border>
    <border>
      <left style="thick">
        <color rgb="FFF8696B"/>
      </left>
      <right style="thick">
        <color rgb="FFF8696B"/>
      </right>
      <top style="thick">
        <color rgb="FFF8696B"/>
      </top>
      <bottom style="thick">
        <color rgb="FFF8696B"/>
      </bottom>
      <diagonal/>
    </border>
    <border>
      <left style="thick">
        <color rgb="FFF8696B"/>
      </left>
      <right/>
      <top style="double">
        <color indexed="8"/>
      </top>
      <bottom style="thick">
        <color rgb="FFF8696B"/>
      </bottom>
      <diagonal/>
    </border>
    <border>
      <left style="thick">
        <color rgb="FFF8696B"/>
      </left>
      <right style="thick">
        <color rgb="FF63BE7B"/>
      </right>
      <top style="double">
        <color indexed="8"/>
      </top>
      <bottom style="thick">
        <color rgb="FF63BE7B"/>
      </bottom>
      <diagonal/>
    </border>
  </borders>
  <cellStyleXfs count="1">
    <xf numFmtId="0" fontId="0" fillId="0" borderId="0"/>
  </cellStyleXfs>
  <cellXfs count="88">
    <xf numFmtId="0" fontId="0" fillId="0" borderId="0" xfId="0"/>
    <xf numFmtId="0" fontId="0" fillId="0" borderId="0" xfId="0" applyAlignment="1">
      <alignment vertical="center" wrapText="1"/>
    </xf>
    <xf numFmtId="0" fontId="1" fillId="0" borderId="2" xfId="0" applyFont="1" applyBorder="1" applyAlignment="1">
      <alignment vertical="center" wrapText="1"/>
    </xf>
    <xf numFmtId="0" fontId="0" fillId="0" borderId="0" xfId="0" applyBorder="1" applyAlignment="1">
      <alignment horizontal="center" vertical="center" wrapText="1"/>
    </xf>
    <xf numFmtId="0" fontId="3" fillId="0" borderId="0" xfId="0" applyFont="1"/>
    <xf numFmtId="0" fontId="1" fillId="0" borderId="0" xfId="0" applyFont="1"/>
    <xf numFmtId="0" fontId="0" fillId="0" borderId="0" xfId="0" applyAlignment="1">
      <alignment horizontal="center" vertical="center"/>
    </xf>
    <xf numFmtId="0" fontId="3" fillId="0" borderId="0" xfId="0" applyFont="1" applyAlignment="1">
      <alignment horizontal="center" vertical="center"/>
    </xf>
    <xf numFmtId="0" fontId="0" fillId="0" borderId="0" xfId="0" applyNumberFormat="1" applyAlignment="1">
      <alignment vertical="center" wrapText="1"/>
    </xf>
    <xf numFmtId="0" fontId="0" fillId="0" borderId="0" xfId="0" applyNumberFormat="1" applyAlignment="1">
      <alignment horizontal="center" vertical="center" wrapText="1"/>
    </xf>
    <xf numFmtId="0" fontId="0" fillId="0" borderId="0" xfId="0" applyAlignment="1">
      <alignment horizontal="center" vertical="center" wrapText="1"/>
    </xf>
    <xf numFmtId="0" fontId="0" fillId="0" borderId="0" xfId="0" applyFont="1" applyAlignment="1">
      <alignment vertical="center" wrapText="1"/>
    </xf>
    <xf numFmtId="0" fontId="1" fillId="0" borderId="4" xfId="0" applyFont="1" applyBorder="1" applyAlignment="1">
      <alignment vertical="center" wrapText="1"/>
    </xf>
    <xf numFmtId="164" fontId="0" fillId="0" borderId="0" xfId="0" applyNumberFormat="1" applyAlignment="1">
      <alignment horizontal="center" vertical="center" wrapText="1"/>
    </xf>
    <xf numFmtId="0" fontId="1" fillId="0" borderId="2" xfId="0" applyFont="1" applyBorder="1" applyAlignment="1">
      <alignment horizontal="center" vertical="center" wrapText="1"/>
    </xf>
    <xf numFmtId="0" fontId="0" fillId="0" borderId="0" xfId="0" applyFill="1" applyAlignment="1">
      <alignment vertical="center" wrapText="1"/>
    </xf>
    <xf numFmtId="0" fontId="0" fillId="0" borderId="0" xfId="0" applyFont="1" applyFill="1" applyAlignment="1">
      <alignment vertical="center" wrapText="1"/>
    </xf>
    <xf numFmtId="0" fontId="2" fillId="0" borderId="0" xfId="0" applyFont="1" applyBorder="1" applyAlignment="1">
      <alignment vertical="center" wrapText="1"/>
    </xf>
    <xf numFmtId="165" fontId="0" fillId="0" borderId="5" xfId="0" applyNumberFormat="1" applyBorder="1" applyAlignment="1">
      <alignment horizontal="center" vertical="center" wrapText="1"/>
    </xf>
    <xf numFmtId="165" fontId="0" fillId="0" borderId="0" xfId="0" applyNumberFormat="1" applyAlignment="1">
      <alignment horizontal="center" vertical="center" wrapText="1"/>
    </xf>
    <xf numFmtId="165" fontId="0" fillId="0" borderId="1" xfId="0" applyNumberFormat="1" applyBorder="1" applyAlignment="1">
      <alignment horizontal="center" vertical="center" wrapText="1"/>
    </xf>
    <xf numFmtId="0" fontId="0" fillId="0" borderId="0" xfId="0" applyAlignment="1">
      <alignment vertical="center"/>
    </xf>
    <xf numFmtId="0" fontId="1" fillId="0" borderId="2" xfId="0" applyFont="1" applyBorder="1" applyAlignment="1">
      <alignment horizontal="center" vertical="center" wrapText="1"/>
    </xf>
    <xf numFmtId="0" fontId="0" fillId="5" borderId="0" xfId="0" applyFill="1" applyAlignment="1">
      <alignment vertical="center"/>
    </xf>
    <xf numFmtId="0" fontId="1" fillId="5" borderId="0" xfId="0" applyFont="1" applyFill="1" applyAlignment="1">
      <alignment vertical="center"/>
    </xf>
    <xf numFmtId="0" fontId="0" fillId="5" borderId="0" xfId="0" applyFill="1"/>
    <xf numFmtId="0" fontId="0" fillId="0" borderId="0" xfId="0" applyAlignment="1" applyProtection="1">
      <alignment vertical="center" wrapText="1"/>
      <protection locked="0"/>
    </xf>
    <xf numFmtId="0" fontId="1" fillId="0" borderId="0" xfId="0" applyFont="1" applyFill="1" applyAlignment="1">
      <alignment vertical="center" wrapText="1"/>
    </xf>
    <xf numFmtId="0" fontId="0" fillId="0" borderId="0" xfId="0" applyFill="1"/>
    <xf numFmtId="0" fontId="1" fillId="6" borderId="2" xfId="0" applyFont="1" applyFill="1" applyBorder="1" applyAlignment="1">
      <alignment horizontal="center" vertical="center"/>
    </xf>
    <xf numFmtId="0" fontId="1" fillId="0" borderId="0" xfId="0" applyFont="1" applyAlignment="1">
      <alignment vertical="center" wrapText="1"/>
    </xf>
    <xf numFmtId="0" fontId="1" fillId="0" borderId="0" xfId="0" applyFont="1" applyAlignment="1">
      <alignment horizontal="center" vertical="center" wrapText="1"/>
    </xf>
    <xf numFmtId="0" fontId="0" fillId="0" borderId="0" xfId="0" applyNumberFormat="1" applyFont="1" applyAlignment="1">
      <alignment vertical="center" wrapText="1"/>
    </xf>
    <xf numFmtId="0" fontId="0" fillId="0" borderId="0" xfId="0" quotePrefix="1" applyNumberFormat="1" applyFont="1" applyAlignment="1">
      <alignment vertical="center" wrapText="1"/>
    </xf>
    <xf numFmtId="164" fontId="10" fillId="0" borderId="0" xfId="0" applyNumberFormat="1" applyFont="1" applyAlignment="1">
      <alignment horizontal="center" vertical="center" wrapText="1"/>
    </xf>
    <xf numFmtId="0" fontId="0" fillId="0" borderId="0" xfId="0" applyFill="1" applyBorder="1" applyAlignment="1">
      <alignment horizontal="center" vertical="center" wrapText="1"/>
    </xf>
    <xf numFmtId="0" fontId="3" fillId="0" borderId="0" xfId="0" applyFont="1" applyAlignment="1">
      <alignment vertical="center" wrapText="1"/>
    </xf>
    <xf numFmtId="0" fontId="0" fillId="0" borderId="10" xfId="0" applyBorder="1"/>
    <xf numFmtId="0" fontId="11" fillId="5" borderId="0" xfId="0" applyFont="1" applyFill="1" applyBorder="1" applyAlignment="1">
      <alignment horizontal="right" vertical="center" wrapText="1"/>
    </xf>
    <xf numFmtId="0" fontId="11" fillId="5" borderId="0" xfId="0" applyFont="1" applyFill="1" applyAlignment="1">
      <alignment vertical="center" wrapText="1"/>
    </xf>
    <xf numFmtId="0" fontId="6" fillId="0" borderId="1" xfId="0" applyFont="1" applyBorder="1" applyAlignment="1">
      <alignment horizontal="center" vertical="center" wrapText="1"/>
    </xf>
    <xf numFmtId="0" fontId="1" fillId="0" borderId="0" xfId="0" applyFont="1" applyAlignment="1">
      <alignment horizontal="right" vertical="center" wrapText="1"/>
    </xf>
    <xf numFmtId="0" fontId="0" fillId="0" borderId="0" xfId="0" applyFill="1" applyAlignment="1">
      <alignment horizontal="center" vertical="center" wrapText="1"/>
    </xf>
    <xf numFmtId="0" fontId="3" fillId="8" borderId="0" xfId="0" applyFont="1" applyFill="1" applyAlignment="1">
      <alignment vertical="center" wrapText="1"/>
    </xf>
    <xf numFmtId="0" fontId="3" fillId="8" borderId="0" xfId="0" applyFont="1" applyFill="1" applyAlignment="1">
      <alignment horizontal="center" vertical="center" wrapText="1"/>
    </xf>
    <xf numFmtId="0" fontId="13" fillId="8" borderId="0" xfId="0" applyFont="1" applyFill="1" applyAlignment="1">
      <alignment horizontal="center" vertical="center" wrapText="1"/>
    </xf>
    <xf numFmtId="0" fontId="13" fillId="8" borderId="0" xfId="0" applyFont="1" applyFill="1" applyAlignment="1">
      <alignment wrapText="1"/>
    </xf>
    <xf numFmtId="0" fontId="13" fillId="8" borderId="0" xfId="0" applyFont="1" applyFill="1" applyAlignment="1">
      <alignment horizontal="center" wrapText="1"/>
    </xf>
    <xf numFmtId="0" fontId="0" fillId="0" borderId="2" xfId="0" applyBorder="1" applyAlignment="1">
      <alignment vertical="center" wrapText="1"/>
    </xf>
    <xf numFmtId="0" fontId="0" fillId="0" borderId="2" xfId="0" applyBorder="1" applyAlignment="1">
      <alignment horizontal="center" vertical="center" wrapText="1"/>
    </xf>
    <xf numFmtId="0" fontId="13" fillId="8" borderId="2" xfId="0" applyNumberFormat="1" applyFont="1" applyFill="1" applyBorder="1" applyAlignment="1">
      <alignment horizontal="center" vertical="center" wrapText="1"/>
    </xf>
    <xf numFmtId="0" fontId="13" fillId="8" borderId="3" xfId="0" applyNumberFormat="1" applyFont="1" applyFill="1" applyBorder="1" applyAlignment="1">
      <alignment vertical="center" wrapText="1"/>
    </xf>
    <xf numFmtId="0" fontId="13" fillId="8" borderId="2" xfId="0" applyNumberFormat="1" applyFont="1" applyFill="1" applyBorder="1" applyAlignment="1">
      <alignment vertical="center" wrapText="1"/>
    </xf>
    <xf numFmtId="0" fontId="13" fillId="8" borderId="2" xfId="0" applyFont="1" applyFill="1" applyBorder="1" applyAlignment="1">
      <alignment vertical="top" wrapText="1"/>
    </xf>
    <xf numFmtId="0" fontId="13" fillId="8" borderId="2" xfId="0" applyFont="1" applyFill="1" applyBorder="1" applyAlignment="1">
      <alignment horizontal="center" vertical="top" wrapText="1"/>
    </xf>
    <xf numFmtId="0" fontId="1" fillId="2" borderId="0" xfId="0" applyFont="1" applyFill="1" applyBorder="1" applyAlignment="1">
      <alignment vertical="center" wrapText="1"/>
    </xf>
    <xf numFmtId="0" fontId="1" fillId="3" borderId="0" xfId="0" applyFont="1" applyFill="1" applyBorder="1" applyAlignment="1">
      <alignment vertical="center" wrapText="1"/>
    </xf>
    <xf numFmtId="0" fontId="13" fillId="8" borderId="0" xfId="0" applyFont="1" applyFill="1" applyAlignment="1">
      <alignment vertical="center" wrapText="1"/>
    </xf>
    <xf numFmtId="0" fontId="0" fillId="10" borderId="0" xfId="0" applyFill="1" applyAlignment="1">
      <alignment horizontal="center" vertical="center" wrapText="1"/>
    </xf>
    <xf numFmtId="0" fontId="0" fillId="10" borderId="0" xfId="0" applyFill="1" applyAlignment="1">
      <alignment vertical="center" wrapText="1"/>
    </xf>
    <xf numFmtId="0" fontId="0" fillId="10" borderId="0" xfId="0" applyFill="1" applyAlignment="1">
      <alignment vertical="center"/>
    </xf>
    <xf numFmtId="0" fontId="0" fillId="10" borderId="0" xfId="0" applyFill="1" applyAlignment="1">
      <alignment horizontal="center" vertical="center"/>
    </xf>
    <xf numFmtId="0" fontId="7" fillId="10" borderId="0" xfId="0" applyFont="1" applyFill="1" applyAlignment="1">
      <alignment horizontal="center" vertical="center"/>
    </xf>
    <xf numFmtId="0" fontId="12" fillId="10" borderId="0" xfId="0" applyFont="1" applyFill="1" applyAlignment="1">
      <alignment horizontal="center" vertical="center"/>
    </xf>
    <xf numFmtId="0" fontId="1" fillId="13" borderId="2" xfId="0" applyFont="1" applyFill="1" applyBorder="1" applyAlignment="1">
      <alignment horizontal="center" vertical="center"/>
    </xf>
    <xf numFmtId="0" fontId="1" fillId="6" borderId="11" xfId="0" applyFont="1" applyFill="1" applyBorder="1" applyAlignment="1">
      <alignment horizontal="center" vertical="center"/>
    </xf>
    <xf numFmtId="0" fontId="14" fillId="9" borderId="9" xfId="0" applyFont="1" applyFill="1" applyBorder="1" applyAlignment="1">
      <alignment horizontal="center" vertical="center" wrapText="1"/>
    </xf>
    <xf numFmtId="0" fontId="14" fillId="7" borderId="0" xfId="0" applyFont="1" applyFill="1" applyBorder="1" applyAlignment="1">
      <alignment horizontal="center" vertical="center" wrapText="1"/>
    </xf>
    <xf numFmtId="0" fontId="1" fillId="2" borderId="2" xfId="0" applyFont="1" applyFill="1" applyBorder="1" applyAlignment="1">
      <alignment horizontal="center" vertical="center" wrapText="1"/>
    </xf>
    <xf numFmtId="0" fontId="1" fillId="2" borderId="4" xfId="0" applyFont="1" applyFill="1" applyBorder="1" applyAlignment="1">
      <alignment horizontal="center" vertical="center" wrapText="1"/>
    </xf>
    <xf numFmtId="0" fontId="1" fillId="3" borderId="4" xfId="0" applyFont="1" applyFill="1" applyBorder="1" applyAlignment="1">
      <alignment horizontal="center" vertical="center" wrapText="1"/>
    </xf>
    <xf numFmtId="0" fontId="1" fillId="3" borderId="2" xfId="0" applyFont="1" applyFill="1" applyBorder="1" applyAlignment="1">
      <alignment horizontal="center" vertical="center" wrapText="1"/>
    </xf>
    <xf numFmtId="0" fontId="9" fillId="4" borderId="6" xfId="0" applyFont="1" applyFill="1" applyBorder="1" applyAlignment="1" applyProtection="1">
      <alignment horizontal="left" vertical="center"/>
      <protection locked="0"/>
    </xf>
    <xf numFmtId="0" fontId="9" fillId="4" borderId="7" xfId="0" applyFont="1" applyFill="1" applyBorder="1" applyAlignment="1" applyProtection="1">
      <alignment horizontal="left" vertical="center"/>
      <protection locked="0"/>
    </xf>
    <xf numFmtId="0" fontId="9" fillId="4" borderId="8" xfId="0" applyFont="1" applyFill="1" applyBorder="1" applyAlignment="1" applyProtection="1">
      <alignment horizontal="left" vertical="center"/>
      <protection locked="0"/>
    </xf>
    <xf numFmtId="0" fontId="1" fillId="9" borderId="5" xfId="0" applyFont="1" applyFill="1" applyBorder="1" applyAlignment="1">
      <alignment horizontal="left" vertical="center" wrapText="1"/>
    </xf>
    <xf numFmtId="0" fontId="1" fillId="9" borderId="1" xfId="0" applyFont="1" applyFill="1" applyBorder="1" applyAlignment="1">
      <alignment horizontal="left" vertical="center" wrapText="1"/>
    </xf>
    <xf numFmtId="0" fontId="1" fillId="7" borderId="1" xfId="0" applyFont="1" applyFill="1" applyBorder="1" applyAlignment="1">
      <alignment horizontal="left" vertical="center" wrapText="1"/>
    </xf>
    <xf numFmtId="0" fontId="6" fillId="0" borderId="0" xfId="0" applyFont="1" applyAlignment="1">
      <alignment horizontal="center" vertical="center" wrapText="1"/>
    </xf>
    <xf numFmtId="0" fontId="6" fillId="0" borderId="1" xfId="0" applyFont="1" applyBorder="1" applyAlignment="1">
      <alignment horizontal="center" vertical="center" wrapText="1"/>
    </xf>
    <xf numFmtId="0" fontId="6" fillId="0" borderId="0" xfId="0" applyFont="1" applyBorder="1" applyAlignment="1">
      <alignment horizontal="center" vertical="center" wrapText="1"/>
    </xf>
    <xf numFmtId="0" fontId="0" fillId="12" borderId="12" xfId="0" applyFill="1" applyBorder="1" applyAlignment="1">
      <alignment horizontal="center" vertical="center"/>
    </xf>
    <xf numFmtId="0" fontId="0" fillId="6" borderId="12" xfId="0" applyFill="1" applyBorder="1" applyAlignment="1">
      <alignment horizontal="center" vertical="center"/>
    </xf>
    <xf numFmtId="0" fontId="1" fillId="13" borderId="0" xfId="0" applyFont="1" applyFill="1" applyBorder="1" applyAlignment="1">
      <alignment horizontal="center" vertical="center"/>
    </xf>
    <xf numFmtId="0" fontId="1" fillId="6" borderId="0" xfId="0" applyFont="1" applyFill="1" applyBorder="1" applyAlignment="1">
      <alignment horizontal="center" vertical="center"/>
    </xf>
    <xf numFmtId="0" fontId="0" fillId="14" borderId="12" xfId="0" applyFill="1" applyBorder="1" applyAlignment="1">
      <alignment horizontal="center" vertical="center"/>
    </xf>
    <xf numFmtId="0" fontId="0" fillId="6" borderId="13" xfId="0" applyFill="1" applyBorder="1" applyAlignment="1">
      <alignment horizontal="center" vertical="center"/>
    </xf>
    <xf numFmtId="0" fontId="0" fillId="11" borderId="14" xfId="0" applyFill="1" applyBorder="1" applyAlignment="1">
      <alignment horizontal="center" vertical="center"/>
    </xf>
  </cellXfs>
  <cellStyles count="1">
    <cellStyle name="Standard" xfId="0" builtinId="0"/>
  </cellStyles>
  <dxfs count="25">
    <dxf>
      <fill>
        <patternFill>
          <bgColor theme="9" tint="0.79998168889431442"/>
        </patternFill>
      </fill>
    </dxf>
    <dxf>
      <fill>
        <patternFill>
          <bgColor rgb="FFFBB3B5"/>
        </patternFill>
      </fill>
    </dxf>
    <dxf>
      <fill>
        <patternFill>
          <bgColor rgb="FFF8696B"/>
        </patternFill>
      </fill>
    </dxf>
    <dxf>
      <font>
        <b/>
        <i val="0"/>
        <color theme="0"/>
      </font>
      <fill>
        <patternFill>
          <bgColor rgb="FFF41015"/>
        </patternFill>
      </fill>
    </dxf>
    <dxf>
      <fill>
        <patternFill>
          <bgColor rgb="FFBBE3C5"/>
        </patternFill>
      </fill>
    </dxf>
    <dxf>
      <fill>
        <patternFill>
          <bgColor rgb="FF63BE7B"/>
        </patternFill>
      </fill>
    </dxf>
    <dxf>
      <font>
        <b/>
        <i val="0"/>
        <color theme="0"/>
      </font>
      <fill>
        <patternFill>
          <bgColor rgb="FF2AA839"/>
        </patternFill>
      </fill>
    </dxf>
    <dxf>
      <fill>
        <patternFill>
          <bgColor rgb="FFFBB3B5"/>
        </patternFill>
      </fill>
    </dxf>
    <dxf>
      <fill>
        <patternFill>
          <bgColor rgb="FFF8696B"/>
        </patternFill>
      </fill>
    </dxf>
    <dxf>
      <font>
        <b/>
        <i val="0"/>
        <color theme="0"/>
      </font>
      <fill>
        <patternFill>
          <bgColor rgb="FFF41015"/>
        </patternFill>
      </fill>
    </dxf>
    <dxf>
      <fill>
        <patternFill>
          <bgColor rgb="FFBBE3C5"/>
        </patternFill>
      </fill>
    </dxf>
    <dxf>
      <fill>
        <patternFill>
          <bgColor rgb="FF63BE7B"/>
        </patternFill>
      </fill>
    </dxf>
    <dxf>
      <font>
        <b/>
        <i val="0"/>
        <color theme="0"/>
      </font>
      <fill>
        <patternFill>
          <bgColor rgb="FF2AA839"/>
        </patternFill>
      </fill>
    </dxf>
    <dxf>
      <fill>
        <patternFill>
          <bgColor rgb="FFFBB3B5"/>
        </patternFill>
      </fill>
    </dxf>
    <dxf>
      <fill>
        <patternFill>
          <bgColor rgb="FFF8696B"/>
        </patternFill>
      </fill>
    </dxf>
    <dxf>
      <font>
        <b/>
        <i val="0"/>
        <color theme="0"/>
      </font>
      <fill>
        <patternFill>
          <bgColor rgb="FFF41015"/>
        </patternFill>
      </fill>
    </dxf>
    <dxf>
      <fill>
        <patternFill>
          <bgColor rgb="FFBBE3C5"/>
        </patternFill>
      </fill>
    </dxf>
    <dxf>
      <fill>
        <patternFill>
          <bgColor rgb="FF63BE7B"/>
        </patternFill>
      </fill>
    </dxf>
    <dxf>
      <font>
        <b/>
        <i val="0"/>
        <color theme="0"/>
      </font>
      <fill>
        <patternFill>
          <bgColor rgb="FF2AA839"/>
        </patternFill>
      </fill>
    </dxf>
    <dxf>
      <fill>
        <patternFill>
          <bgColor rgb="FFFBB3B5"/>
        </patternFill>
      </fill>
    </dxf>
    <dxf>
      <fill>
        <patternFill>
          <bgColor rgb="FFF8696B"/>
        </patternFill>
      </fill>
    </dxf>
    <dxf>
      <font>
        <b/>
        <i val="0"/>
        <color theme="0"/>
      </font>
      <fill>
        <patternFill>
          <bgColor rgb="FFF41015"/>
        </patternFill>
      </fill>
    </dxf>
    <dxf>
      <fill>
        <patternFill>
          <bgColor rgb="FFBBE3C5"/>
        </patternFill>
      </fill>
    </dxf>
    <dxf>
      <fill>
        <patternFill>
          <bgColor rgb="FF63BE7B"/>
        </patternFill>
      </fill>
    </dxf>
    <dxf>
      <font>
        <b/>
        <i val="0"/>
        <color theme="0"/>
      </font>
      <fill>
        <patternFill>
          <bgColor rgb="FF2AA839"/>
        </patternFill>
      </fill>
    </dxf>
  </dxfs>
  <tableStyles count="0" defaultTableStyle="TableStyleMedium2" defaultPivotStyle="PivotStyleLight16"/>
  <colors>
    <mruColors>
      <color rgb="FFFFFFCC"/>
      <color rgb="FF2AA839"/>
      <color rgb="FF63BE7B"/>
      <color rgb="FFBBE3C5"/>
      <color rgb="FFF41015"/>
      <color rgb="FFF8696B"/>
      <color rgb="FFFBB3B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114300</xdr:colOff>
          <xdr:row>1</xdr:row>
          <xdr:rowOff>104775</xdr:rowOff>
        </xdr:from>
        <xdr:to>
          <xdr:col>1</xdr:col>
          <xdr:colOff>1352550</xdr:colOff>
          <xdr:row>3</xdr:row>
          <xdr:rowOff>47625</xdr:rowOff>
        </xdr:to>
        <xdr:sp macro="" textlink="">
          <xdr:nvSpPr>
            <xdr:cNvPr id="10391" name="Button 151" hidden="1">
              <a:extLst>
                <a:ext uri="{63B3BB69-23CF-44E3-9099-C40C66FF867C}">
                  <a14:compatExt spid="_x0000_s10391"/>
                </a:ext>
                <a:ext uri="{FF2B5EF4-FFF2-40B4-BE49-F238E27FC236}">
                  <a16:creationId xmlns:a16="http://schemas.microsoft.com/office/drawing/2014/main" id="{00000000-0008-0000-0200-000097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Add Requirement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1533525</xdr:colOff>
          <xdr:row>1</xdr:row>
          <xdr:rowOff>114300</xdr:rowOff>
        </xdr:from>
        <xdr:to>
          <xdr:col>1</xdr:col>
          <xdr:colOff>3295650</xdr:colOff>
          <xdr:row>3</xdr:row>
          <xdr:rowOff>57150</xdr:rowOff>
        </xdr:to>
        <xdr:sp macro="" textlink="">
          <xdr:nvSpPr>
            <xdr:cNvPr id="10437" name="Button 197" hidden="1">
              <a:extLst>
                <a:ext uri="{63B3BB69-23CF-44E3-9099-C40C66FF867C}">
                  <a14:compatExt spid="_x0000_s10437"/>
                </a:ext>
                <a:ext uri="{FF2B5EF4-FFF2-40B4-BE49-F238E27FC236}">
                  <a16:creationId xmlns:a16="http://schemas.microsoft.com/office/drawing/2014/main" id="{00000000-0008-0000-0200-0000C5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Delete Last Requirement</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X21"/>
  <sheetViews>
    <sheetView showZeros="0" zoomScale="145" zoomScaleNormal="145" workbookViewId="0">
      <pane xSplit="2" ySplit="2" topLeftCell="C3" activePane="bottomRight" state="frozen"/>
      <selection pane="topRight" activeCell="C1" sqref="C1"/>
      <selection pane="bottomLeft" activeCell="A3" sqref="A3"/>
      <selection pane="bottomRight" activeCell="A11" sqref="A11"/>
    </sheetView>
  </sheetViews>
  <sheetFormatPr baseColWidth="10" defaultColWidth="8.85546875" defaultRowHeight="15" x14ac:dyDescent="0.25"/>
  <cols>
    <col min="1" max="1" width="34.28515625" style="1" customWidth="1"/>
    <col min="2" max="2" width="7" style="10" customWidth="1"/>
    <col min="3" max="4" width="6.42578125" style="3" customWidth="1"/>
    <col min="5" max="6" width="6.42578125" style="17" customWidth="1"/>
    <col min="7" max="8" width="6.42578125" style="3" customWidth="1"/>
    <col min="9" max="10" width="6.42578125" style="17" customWidth="1"/>
    <col min="11" max="12" width="6.42578125" style="3" customWidth="1"/>
    <col min="13" max="18" width="6.42578125" style="17" customWidth="1"/>
    <col min="19" max="22" width="6.42578125" style="3" customWidth="1"/>
    <col min="25" max="16384" width="8.85546875" style="1"/>
  </cols>
  <sheetData>
    <row r="1" spans="1:22" x14ac:dyDescent="0.25">
      <c r="C1" s="66" t="s">
        <v>158</v>
      </c>
      <c r="D1" s="66"/>
      <c r="E1" s="66"/>
      <c r="F1" s="66"/>
      <c r="G1" s="66"/>
      <c r="H1" s="66"/>
      <c r="I1" s="66"/>
      <c r="J1" s="66"/>
      <c r="K1" s="66"/>
      <c r="L1" s="66"/>
      <c r="M1" s="66"/>
      <c r="N1" s="66"/>
      <c r="O1" s="66"/>
      <c r="P1" s="66"/>
      <c r="Q1" s="67" t="s">
        <v>156</v>
      </c>
      <c r="R1" s="67"/>
      <c r="S1" s="67"/>
      <c r="T1" s="67"/>
      <c r="U1" s="67"/>
      <c r="V1" s="67"/>
    </row>
    <row r="2" spans="1:22" ht="29.45" customHeight="1" thickBot="1" x14ac:dyDescent="0.3">
      <c r="A2" s="2" t="s">
        <v>9</v>
      </c>
      <c r="B2" s="14" t="s">
        <v>10</v>
      </c>
      <c r="C2" s="68" t="s">
        <v>2</v>
      </c>
      <c r="D2" s="68"/>
      <c r="E2" s="69" t="s">
        <v>0</v>
      </c>
      <c r="F2" s="68"/>
      <c r="G2" s="69" t="s">
        <v>1</v>
      </c>
      <c r="H2" s="68"/>
      <c r="I2" s="69" t="s">
        <v>5</v>
      </c>
      <c r="J2" s="68"/>
      <c r="K2" s="69" t="s">
        <v>4</v>
      </c>
      <c r="L2" s="68"/>
      <c r="M2" s="69" t="s">
        <v>3</v>
      </c>
      <c r="N2" s="68"/>
      <c r="O2" s="69" t="s">
        <v>6</v>
      </c>
      <c r="P2" s="68"/>
      <c r="Q2" s="70" t="s">
        <v>78</v>
      </c>
      <c r="R2" s="71"/>
      <c r="S2" s="70" t="s">
        <v>7</v>
      </c>
      <c r="T2" s="71"/>
      <c r="U2" s="70" t="s">
        <v>8</v>
      </c>
      <c r="V2" s="71"/>
    </row>
    <row r="3" spans="1:22" ht="15.75" thickTop="1" x14ac:dyDescent="0.25">
      <c r="A3" s="1" t="s">
        <v>52</v>
      </c>
      <c r="B3" s="3" t="s">
        <v>33</v>
      </c>
      <c r="C3" s="18">
        <f t="shared" ref="C3:C13" si="0">SUMIFS(GR_Degrees,GR_Affected_Stakeholders,$A3,GR_Dims_System_might_affect,C$2,GR_Degrees,"&lt;0")</f>
        <v>-2</v>
      </c>
      <c r="D3" s="19">
        <f t="shared" ref="D3:D13" si="1">SUMIFS(GR_Degrees,GR_Affected_Stakeholders,$A3,GR_Dims_System_might_affect,C$2,GR_Degrees,"&gt;0")</f>
        <v>1</v>
      </c>
      <c r="E3" s="18">
        <f t="shared" ref="E3:E13" si="2">SUMIFS(GR_Degrees,GR_Affected_Stakeholders,$A3,GR_Dims_System_might_affect,E$2,GR_Degrees,"&lt;0")</f>
        <v>-1</v>
      </c>
      <c r="F3" s="19">
        <f t="shared" ref="F3:F13" si="3">SUMIFS(GR_Degrees,GR_Affected_Stakeholders,$A3,GR_Dims_System_might_affect,E$2,GR_Degrees,"&gt;0")</f>
        <v>0</v>
      </c>
      <c r="G3" s="18">
        <f t="shared" ref="G3:G13" si="4">SUMIFS(GR_Degrees,GR_Affected_Stakeholders,$A3,GR_Dims_System_might_affect,G$2,GR_Degrees,"&lt;0")</f>
        <v>-2</v>
      </c>
      <c r="H3" s="19">
        <f t="shared" ref="H3:H13" si="5">SUMIFS(GR_Degrees,GR_Affected_Stakeholders,$A3,GR_Dims_System_might_affect,G$2,GR_Degrees,"&gt;0")</f>
        <v>2</v>
      </c>
      <c r="I3" s="18">
        <f t="shared" ref="I3:I13" si="6">SUMIFS(GR_Degrees,GR_Affected_Stakeholders,$A3,GR_Dims_System_might_affect,I$2,GR_Degrees,"&lt;0")</f>
        <v>0</v>
      </c>
      <c r="J3" s="19">
        <f t="shared" ref="J3:J13" si="7">SUMIFS(GR_Degrees,GR_Affected_Stakeholders,$A3,GR_Dims_System_might_affect,I$2,GR_Degrees,"&gt;0")</f>
        <v>2</v>
      </c>
      <c r="K3" s="18">
        <f t="shared" ref="K3:K13" si="8">SUMIFS(GR_Degrees,GR_Affected_Stakeholders,$A3,GR_Dims_System_might_affect,K$2,GR_Degrees,"&lt;0")</f>
        <v>-4</v>
      </c>
      <c r="L3" s="19">
        <f t="shared" ref="L3:L13" si="9">SUMIFS(GR_Degrees,GR_Affected_Stakeholders,$A3,GR_Dims_System_might_affect,K$2,GR_Degrees,"&gt;0")</f>
        <v>0</v>
      </c>
      <c r="M3" s="18">
        <f t="shared" ref="M3:O13" si="10">SUMIFS(GR_Degrees,GR_Affected_Stakeholders,$A3,GR_Dims_System_might_affect,M$2,GR_Degrees,"&lt;0")</f>
        <v>0</v>
      </c>
      <c r="N3" s="19">
        <f t="shared" ref="N3:N13" si="11">SUMIFS(GR_Degrees,GR_Affected_Stakeholders,$A3,GR_Dims_System_might_affect,M$2,GR_Degrees,"&gt;0")</f>
        <v>0</v>
      </c>
      <c r="O3" s="18">
        <f t="shared" si="10"/>
        <v>0</v>
      </c>
      <c r="P3" s="19">
        <f t="shared" ref="P3:P13" si="12">SUMIFS(GR_Degrees,GR_Affected_Stakeholders,$A3,GR_Dims_System_might_affect,O$2,GR_Degrees,"&gt;0")</f>
        <v>0</v>
      </c>
      <c r="Q3" s="18">
        <f t="shared" ref="Q3:Q13" si="13">SUMIFS(GR_Degrees,GR_Affected_Stakeholders,$A3,GR_Dims_System_might_affect,Q$2,GR_Degrees,"&lt;0")</f>
        <v>0</v>
      </c>
      <c r="R3" s="19">
        <f t="shared" ref="R3:R13" si="14">SUMIFS(GR_Degrees,GR_Affected_Stakeholders,$A3,GR_Dims_System_might_affect,Q$2,GR_Degrees,"&gt;0")</f>
        <v>0</v>
      </c>
      <c r="S3" s="18">
        <f t="shared" ref="S3:S13" si="15">SUMIFS(GR_Degrees,GR_Affected_Stakeholders,$A3,GR_Dims_System_might_affect,S$2,GR_Degrees,"&lt;0")</f>
        <v>0</v>
      </c>
      <c r="T3" s="19">
        <f t="shared" ref="T3:T13" si="16">SUMIFS(GR_Degrees,GR_Affected_Stakeholders,$A3,GR_Dims_System_might_affect,S$2,GR_Degrees,"&gt;0")</f>
        <v>0</v>
      </c>
      <c r="U3" s="18">
        <f t="shared" ref="U3:U13" si="17">SUMIFS(GR_Degrees,GR_Affected_Stakeholders,$A3,GR_Dims_System_might_affect,U$2,GR_Degrees,"&lt;0")</f>
        <v>0</v>
      </c>
      <c r="V3" s="19">
        <f t="shared" ref="V3:V13" si="18">SUMIFS(GR_Degrees,GR_Affected_Stakeholders,$A3,GR_Dims_System_might_affect,U$2,GR_Degrees,"&gt;0")</f>
        <v>0</v>
      </c>
    </row>
    <row r="4" spans="1:22" x14ac:dyDescent="0.25">
      <c r="A4" s="1" t="s">
        <v>57</v>
      </c>
      <c r="B4" s="3" t="s">
        <v>33</v>
      </c>
      <c r="C4" s="20">
        <f t="shared" si="0"/>
        <v>0</v>
      </c>
      <c r="D4" s="19">
        <f t="shared" si="1"/>
        <v>0</v>
      </c>
      <c r="E4" s="20">
        <f t="shared" si="2"/>
        <v>0</v>
      </c>
      <c r="F4" s="19">
        <f t="shared" si="3"/>
        <v>0</v>
      </c>
      <c r="G4" s="20">
        <f t="shared" si="4"/>
        <v>-2</v>
      </c>
      <c r="H4" s="19">
        <f t="shared" si="5"/>
        <v>1</v>
      </c>
      <c r="I4" s="20">
        <f t="shared" si="6"/>
        <v>0</v>
      </c>
      <c r="J4" s="19">
        <f t="shared" si="7"/>
        <v>0</v>
      </c>
      <c r="K4" s="20">
        <f t="shared" si="8"/>
        <v>-3</v>
      </c>
      <c r="L4" s="19">
        <f t="shared" si="9"/>
        <v>0</v>
      </c>
      <c r="M4" s="20">
        <f t="shared" si="10"/>
        <v>-1</v>
      </c>
      <c r="N4" s="19">
        <f t="shared" si="11"/>
        <v>0</v>
      </c>
      <c r="O4" s="20">
        <f t="shared" si="10"/>
        <v>-1</v>
      </c>
      <c r="P4" s="19">
        <f t="shared" si="12"/>
        <v>2</v>
      </c>
      <c r="Q4" s="20">
        <f t="shared" si="13"/>
        <v>-3</v>
      </c>
      <c r="R4" s="19">
        <f t="shared" si="14"/>
        <v>0</v>
      </c>
      <c r="S4" s="20">
        <f t="shared" si="15"/>
        <v>0</v>
      </c>
      <c r="T4" s="19">
        <f t="shared" si="16"/>
        <v>0</v>
      </c>
      <c r="U4" s="20">
        <f t="shared" si="17"/>
        <v>0</v>
      </c>
      <c r="V4" s="19">
        <f t="shared" si="18"/>
        <v>0</v>
      </c>
    </row>
    <row r="5" spans="1:22" x14ac:dyDescent="0.25">
      <c r="A5" s="1" t="s">
        <v>169</v>
      </c>
      <c r="B5" s="3" t="s">
        <v>33</v>
      </c>
      <c r="C5" s="20">
        <f t="shared" si="0"/>
        <v>0</v>
      </c>
      <c r="D5" s="19">
        <f t="shared" ref="D5:D6" si="19">SUMIFS(GR_Degrees,GR_Affected_Stakeholders,$A5,GR_Dims_System_might_affect,C$2,GR_Degrees,"&gt;0")</f>
        <v>0</v>
      </c>
      <c r="E5" s="20">
        <f t="shared" si="2"/>
        <v>0</v>
      </c>
      <c r="F5" s="19">
        <f t="shared" ref="F5:F6" si="20">SUMIFS(GR_Degrees,GR_Affected_Stakeholders,$A5,GR_Dims_System_might_affect,E$2,GR_Degrees,"&gt;0")</f>
        <v>0</v>
      </c>
      <c r="G5" s="20">
        <f t="shared" si="4"/>
        <v>0</v>
      </c>
      <c r="H5" s="19">
        <f t="shared" ref="H5:H6" si="21">SUMIFS(GR_Degrees,GR_Affected_Stakeholders,$A5,GR_Dims_System_might_affect,G$2,GR_Degrees,"&gt;0")</f>
        <v>0</v>
      </c>
      <c r="I5" s="20">
        <f t="shared" si="6"/>
        <v>0</v>
      </c>
      <c r="J5" s="19">
        <f t="shared" ref="J5:J6" si="22">SUMIFS(GR_Degrees,GR_Affected_Stakeholders,$A5,GR_Dims_System_might_affect,I$2,GR_Degrees,"&gt;0")</f>
        <v>0</v>
      </c>
      <c r="K5" s="20">
        <f t="shared" si="8"/>
        <v>-3</v>
      </c>
      <c r="L5" s="19">
        <f t="shared" ref="L5:L6" si="23">SUMIFS(GR_Degrees,GR_Affected_Stakeholders,$A5,GR_Dims_System_might_affect,K$2,GR_Degrees,"&gt;0")</f>
        <v>0</v>
      </c>
      <c r="M5" s="20">
        <f t="shared" si="10"/>
        <v>0</v>
      </c>
      <c r="N5" s="19">
        <f t="shared" ref="N5:N6" si="24">SUMIFS(GR_Degrees,GR_Affected_Stakeholders,$A5,GR_Dims_System_might_affect,M$2,GR_Degrees,"&gt;0")</f>
        <v>0</v>
      </c>
      <c r="O5" s="20">
        <f t="shared" si="10"/>
        <v>0</v>
      </c>
      <c r="P5" s="19">
        <f t="shared" ref="P5:P6" si="25">SUMIFS(GR_Degrees,GR_Affected_Stakeholders,$A5,GR_Dims_System_might_affect,O$2,GR_Degrees,"&gt;0")</f>
        <v>0</v>
      </c>
      <c r="Q5" s="20">
        <f t="shared" si="13"/>
        <v>-2</v>
      </c>
      <c r="R5" s="19">
        <f t="shared" si="14"/>
        <v>1</v>
      </c>
      <c r="S5" s="20">
        <f t="shared" si="15"/>
        <v>0</v>
      </c>
      <c r="T5" s="19">
        <f t="shared" ref="T5:T6" si="26">SUMIFS(GR_Degrees,GR_Affected_Stakeholders,$A5,GR_Dims_System_might_affect,S$2,GR_Degrees,"&gt;0")</f>
        <v>0</v>
      </c>
      <c r="U5" s="20">
        <f t="shared" si="17"/>
        <v>0</v>
      </c>
      <c r="V5" s="19">
        <f t="shared" ref="V5:V6" si="27">SUMIFS(GR_Degrees,GR_Affected_Stakeholders,$A5,GR_Dims_System_might_affect,U$2,GR_Degrees,"&gt;0")</f>
        <v>0</v>
      </c>
    </row>
    <row r="6" spans="1:22" x14ac:dyDescent="0.25">
      <c r="A6" s="1" t="s">
        <v>168</v>
      </c>
      <c r="B6" s="3" t="s">
        <v>34</v>
      </c>
      <c r="C6" s="20">
        <f t="shared" si="0"/>
        <v>0</v>
      </c>
      <c r="D6" s="19">
        <f t="shared" si="19"/>
        <v>0</v>
      </c>
      <c r="E6" s="20">
        <f t="shared" si="2"/>
        <v>0</v>
      </c>
      <c r="F6" s="19">
        <f t="shared" si="20"/>
        <v>0</v>
      </c>
      <c r="G6" s="20">
        <f t="shared" si="4"/>
        <v>0</v>
      </c>
      <c r="H6" s="19">
        <f t="shared" si="21"/>
        <v>0</v>
      </c>
      <c r="I6" s="20">
        <f t="shared" si="6"/>
        <v>0</v>
      </c>
      <c r="J6" s="19">
        <f t="shared" si="22"/>
        <v>0</v>
      </c>
      <c r="K6" s="20">
        <f t="shared" si="8"/>
        <v>-6</v>
      </c>
      <c r="L6" s="19">
        <f t="shared" si="23"/>
        <v>0</v>
      </c>
      <c r="M6" s="20">
        <f t="shared" si="10"/>
        <v>0</v>
      </c>
      <c r="N6" s="19">
        <f t="shared" si="24"/>
        <v>0</v>
      </c>
      <c r="O6" s="20">
        <f t="shared" si="10"/>
        <v>0</v>
      </c>
      <c r="P6" s="19">
        <f t="shared" si="25"/>
        <v>1</v>
      </c>
      <c r="Q6" s="20">
        <f t="shared" si="13"/>
        <v>-2</v>
      </c>
      <c r="R6" s="19">
        <f t="shared" si="14"/>
        <v>0</v>
      </c>
      <c r="S6" s="20">
        <f t="shared" si="15"/>
        <v>-2</v>
      </c>
      <c r="T6" s="19">
        <f t="shared" si="26"/>
        <v>1</v>
      </c>
      <c r="U6" s="20">
        <f t="shared" si="17"/>
        <v>0</v>
      </c>
      <c r="V6" s="19">
        <f t="shared" si="27"/>
        <v>0</v>
      </c>
    </row>
    <row r="7" spans="1:22" x14ac:dyDescent="0.25">
      <c r="A7" s="1" t="s">
        <v>38</v>
      </c>
      <c r="B7" s="3" t="s">
        <v>33</v>
      </c>
      <c r="C7" s="20">
        <f t="shared" si="0"/>
        <v>0</v>
      </c>
      <c r="D7" s="19">
        <f t="shared" si="1"/>
        <v>0</v>
      </c>
      <c r="E7" s="20">
        <f t="shared" si="2"/>
        <v>0</v>
      </c>
      <c r="F7" s="19">
        <f t="shared" si="3"/>
        <v>0</v>
      </c>
      <c r="G7" s="20">
        <f t="shared" si="4"/>
        <v>0</v>
      </c>
      <c r="H7" s="19">
        <f t="shared" si="5"/>
        <v>0</v>
      </c>
      <c r="I7" s="20">
        <f t="shared" si="6"/>
        <v>0</v>
      </c>
      <c r="J7" s="19">
        <f t="shared" si="7"/>
        <v>0</v>
      </c>
      <c r="K7" s="20">
        <f t="shared" si="8"/>
        <v>0</v>
      </c>
      <c r="L7" s="19">
        <f t="shared" si="9"/>
        <v>0</v>
      </c>
      <c r="M7" s="20">
        <f t="shared" si="10"/>
        <v>0</v>
      </c>
      <c r="N7" s="19">
        <f t="shared" si="11"/>
        <v>0</v>
      </c>
      <c r="O7" s="20">
        <f t="shared" si="10"/>
        <v>0</v>
      </c>
      <c r="P7" s="19">
        <f t="shared" si="12"/>
        <v>1</v>
      </c>
      <c r="Q7" s="20">
        <f t="shared" si="13"/>
        <v>0</v>
      </c>
      <c r="R7" s="19">
        <f t="shared" si="14"/>
        <v>1</v>
      </c>
      <c r="S7" s="20">
        <f t="shared" si="15"/>
        <v>0</v>
      </c>
      <c r="T7" s="19">
        <f t="shared" si="16"/>
        <v>0</v>
      </c>
      <c r="U7" s="20">
        <f t="shared" si="17"/>
        <v>0</v>
      </c>
      <c r="V7" s="19">
        <f t="shared" si="18"/>
        <v>0</v>
      </c>
    </row>
    <row r="8" spans="1:22" x14ac:dyDescent="0.25">
      <c r="A8" s="1" t="s">
        <v>76</v>
      </c>
      <c r="B8" s="3" t="s">
        <v>33</v>
      </c>
      <c r="C8" s="20">
        <f t="shared" si="0"/>
        <v>0</v>
      </c>
      <c r="D8" s="19">
        <f t="shared" si="1"/>
        <v>0</v>
      </c>
      <c r="E8" s="20">
        <f t="shared" si="2"/>
        <v>0</v>
      </c>
      <c r="F8" s="19">
        <f t="shared" si="3"/>
        <v>0</v>
      </c>
      <c r="G8" s="20">
        <f t="shared" si="4"/>
        <v>0</v>
      </c>
      <c r="H8" s="19">
        <f t="shared" si="5"/>
        <v>0</v>
      </c>
      <c r="I8" s="20">
        <f t="shared" si="6"/>
        <v>0</v>
      </c>
      <c r="J8" s="19">
        <f t="shared" si="7"/>
        <v>0</v>
      </c>
      <c r="K8" s="20">
        <f t="shared" si="8"/>
        <v>-5</v>
      </c>
      <c r="L8" s="19">
        <f t="shared" si="9"/>
        <v>0</v>
      </c>
      <c r="M8" s="20">
        <f t="shared" si="10"/>
        <v>0</v>
      </c>
      <c r="N8" s="19">
        <f t="shared" si="11"/>
        <v>0</v>
      </c>
      <c r="O8" s="20">
        <f t="shared" si="10"/>
        <v>0</v>
      </c>
      <c r="P8" s="19">
        <f t="shared" si="12"/>
        <v>1</v>
      </c>
      <c r="Q8" s="20">
        <f t="shared" si="13"/>
        <v>-1</v>
      </c>
      <c r="R8" s="19">
        <f t="shared" si="14"/>
        <v>1</v>
      </c>
      <c r="S8" s="20">
        <f t="shared" si="15"/>
        <v>0</v>
      </c>
      <c r="T8" s="19">
        <f t="shared" si="16"/>
        <v>0</v>
      </c>
      <c r="U8" s="20">
        <f t="shared" si="17"/>
        <v>0</v>
      </c>
      <c r="V8" s="19">
        <f t="shared" si="18"/>
        <v>0</v>
      </c>
    </row>
    <row r="9" spans="1:22" x14ac:dyDescent="0.25">
      <c r="A9" s="1" t="s">
        <v>39</v>
      </c>
      <c r="B9" s="3" t="s">
        <v>34</v>
      </c>
      <c r="C9" s="20">
        <f t="shared" si="0"/>
        <v>0</v>
      </c>
      <c r="D9" s="19">
        <f t="shared" si="1"/>
        <v>0</v>
      </c>
      <c r="E9" s="20">
        <f t="shared" si="2"/>
        <v>0</v>
      </c>
      <c r="F9" s="19">
        <f t="shared" si="3"/>
        <v>0</v>
      </c>
      <c r="G9" s="20">
        <f t="shared" si="4"/>
        <v>0</v>
      </c>
      <c r="H9" s="19">
        <f t="shared" si="5"/>
        <v>0</v>
      </c>
      <c r="I9" s="20">
        <f t="shared" si="6"/>
        <v>0</v>
      </c>
      <c r="J9" s="19">
        <f t="shared" si="7"/>
        <v>0</v>
      </c>
      <c r="K9" s="20">
        <f t="shared" si="8"/>
        <v>-2</v>
      </c>
      <c r="L9" s="19">
        <f t="shared" si="9"/>
        <v>0</v>
      </c>
      <c r="M9" s="20">
        <f t="shared" si="10"/>
        <v>0</v>
      </c>
      <c r="N9" s="19">
        <f t="shared" si="11"/>
        <v>0</v>
      </c>
      <c r="O9" s="20">
        <f t="shared" si="10"/>
        <v>0</v>
      </c>
      <c r="P9" s="19">
        <f t="shared" si="12"/>
        <v>0</v>
      </c>
      <c r="Q9" s="20">
        <f t="shared" si="13"/>
        <v>-2</v>
      </c>
      <c r="R9" s="19">
        <f t="shared" si="14"/>
        <v>0</v>
      </c>
      <c r="S9" s="20">
        <f t="shared" si="15"/>
        <v>0</v>
      </c>
      <c r="T9" s="19">
        <f t="shared" si="16"/>
        <v>0</v>
      </c>
      <c r="U9" s="20">
        <f t="shared" si="17"/>
        <v>0</v>
      </c>
      <c r="V9" s="19">
        <f t="shared" si="18"/>
        <v>0</v>
      </c>
    </row>
    <row r="10" spans="1:22" x14ac:dyDescent="0.25">
      <c r="A10" s="1" t="s">
        <v>40</v>
      </c>
      <c r="B10" s="3" t="s">
        <v>34</v>
      </c>
      <c r="C10" s="20">
        <f t="shared" si="0"/>
        <v>0</v>
      </c>
      <c r="D10" s="19">
        <f t="shared" si="1"/>
        <v>0</v>
      </c>
      <c r="E10" s="20">
        <f t="shared" si="2"/>
        <v>0</v>
      </c>
      <c r="F10" s="19">
        <f t="shared" si="3"/>
        <v>0</v>
      </c>
      <c r="G10" s="20">
        <f t="shared" si="4"/>
        <v>0</v>
      </c>
      <c r="H10" s="19">
        <f t="shared" si="5"/>
        <v>0</v>
      </c>
      <c r="I10" s="20">
        <f t="shared" si="6"/>
        <v>0</v>
      </c>
      <c r="J10" s="19">
        <f t="shared" si="7"/>
        <v>0</v>
      </c>
      <c r="K10" s="20">
        <f t="shared" si="8"/>
        <v>-1</v>
      </c>
      <c r="L10" s="19">
        <f t="shared" si="9"/>
        <v>0</v>
      </c>
      <c r="M10" s="20">
        <f t="shared" si="10"/>
        <v>-1</v>
      </c>
      <c r="N10" s="19">
        <f t="shared" si="11"/>
        <v>0</v>
      </c>
      <c r="O10" s="20">
        <f t="shared" si="10"/>
        <v>0</v>
      </c>
      <c r="P10" s="19">
        <f t="shared" si="12"/>
        <v>1</v>
      </c>
      <c r="Q10" s="20">
        <f t="shared" si="13"/>
        <v>-2</v>
      </c>
      <c r="R10" s="19">
        <f t="shared" si="14"/>
        <v>0</v>
      </c>
      <c r="S10" s="20">
        <f t="shared" si="15"/>
        <v>0</v>
      </c>
      <c r="T10" s="19">
        <f t="shared" si="16"/>
        <v>1</v>
      </c>
      <c r="U10" s="20">
        <f t="shared" si="17"/>
        <v>0</v>
      </c>
      <c r="V10" s="19">
        <f t="shared" si="18"/>
        <v>1</v>
      </c>
    </row>
    <row r="11" spans="1:22" x14ac:dyDescent="0.25">
      <c r="A11" s="1" t="s">
        <v>41</v>
      </c>
      <c r="B11" s="3" t="s">
        <v>34</v>
      </c>
      <c r="C11" s="20">
        <f t="shared" si="0"/>
        <v>0</v>
      </c>
      <c r="D11" s="19">
        <f t="shared" si="1"/>
        <v>0</v>
      </c>
      <c r="E11" s="20">
        <f t="shared" si="2"/>
        <v>0</v>
      </c>
      <c r="F11" s="19">
        <f t="shared" si="3"/>
        <v>0</v>
      </c>
      <c r="G11" s="20">
        <f t="shared" si="4"/>
        <v>0</v>
      </c>
      <c r="H11" s="19">
        <f t="shared" si="5"/>
        <v>0</v>
      </c>
      <c r="I11" s="20">
        <f t="shared" si="6"/>
        <v>0</v>
      </c>
      <c r="J11" s="19">
        <f t="shared" si="7"/>
        <v>0</v>
      </c>
      <c r="K11" s="20">
        <f t="shared" si="8"/>
        <v>-2</v>
      </c>
      <c r="L11" s="19">
        <f t="shared" si="9"/>
        <v>0</v>
      </c>
      <c r="M11" s="20">
        <f t="shared" si="10"/>
        <v>0</v>
      </c>
      <c r="N11" s="19">
        <f t="shared" si="11"/>
        <v>0</v>
      </c>
      <c r="O11" s="20">
        <f t="shared" si="10"/>
        <v>0</v>
      </c>
      <c r="P11" s="19">
        <f t="shared" si="12"/>
        <v>0</v>
      </c>
      <c r="Q11" s="20">
        <f t="shared" si="13"/>
        <v>-2</v>
      </c>
      <c r="R11" s="19">
        <f t="shared" si="14"/>
        <v>0</v>
      </c>
      <c r="S11" s="20">
        <f t="shared" si="15"/>
        <v>-2</v>
      </c>
      <c r="T11" s="19">
        <f t="shared" si="16"/>
        <v>2</v>
      </c>
      <c r="U11" s="20">
        <f t="shared" si="17"/>
        <v>0</v>
      </c>
      <c r="V11" s="19">
        <f t="shared" si="18"/>
        <v>2</v>
      </c>
    </row>
    <row r="12" spans="1:22" x14ac:dyDescent="0.25">
      <c r="A12" s="1" t="s">
        <v>107</v>
      </c>
      <c r="B12" s="3" t="s">
        <v>34</v>
      </c>
      <c r="C12" s="20">
        <f t="shared" si="0"/>
        <v>0</v>
      </c>
      <c r="D12" s="19">
        <f t="shared" si="1"/>
        <v>0</v>
      </c>
      <c r="E12" s="20">
        <f t="shared" si="2"/>
        <v>0</v>
      </c>
      <c r="F12" s="19">
        <f t="shared" si="3"/>
        <v>0</v>
      </c>
      <c r="G12" s="20">
        <f t="shared" si="4"/>
        <v>0</v>
      </c>
      <c r="H12" s="19">
        <f t="shared" si="5"/>
        <v>0</v>
      </c>
      <c r="I12" s="20">
        <f t="shared" si="6"/>
        <v>0</v>
      </c>
      <c r="J12" s="19">
        <f t="shared" si="7"/>
        <v>0</v>
      </c>
      <c r="K12" s="20">
        <f t="shared" si="8"/>
        <v>-2</v>
      </c>
      <c r="L12" s="19">
        <f t="shared" si="9"/>
        <v>0</v>
      </c>
      <c r="M12" s="20">
        <f t="shared" si="10"/>
        <v>0</v>
      </c>
      <c r="N12" s="19">
        <f t="shared" si="11"/>
        <v>0</v>
      </c>
      <c r="O12" s="20">
        <f t="shared" si="10"/>
        <v>0</v>
      </c>
      <c r="P12" s="19">
        <f t="shared" si="12"/>
        <v>0</v>
      </c>
      <c r="Q12" s="20">
        <f t="shared" si="13"/>
        <v>-4</v>
      </c>
      <c r="R12" s="19">
        <f t="shared" si="14"/>
        <v>0</v>
      </c>
      <c r="S12" s="20">
        <f t="shared" si="15"/>
        <v>-1</v>
      </c>
      <c r="T12" s="19">
        <f t="shared" si="16"/>
        <v>1</v>
      </c>
      <c r="U12" s="20">
        <f t="shared" si="17"/>
        <v>0</v>
      </c>
      <c r="V12" s="19">
        <f t="shared" si="18"/>
        <v>2</v>
      </c>
    </row>
    <row r="13" spans="1:22" x14ac:dyDescent="0.25">
      <c r="A13" s="1" t="s">
        <v>42</v>
      </c>
      <c r="B13" s="3" t="s">
        <v>14</v>
      </c>
      <c r="C13" s="20">
        <f t="shared" si="0"/>
        <v>0</v>
      </c>
      <c r="D13" s="19">
        <f t="shared" si="1"/>
        <v>0</v>
      </c>
      <c r="E13" s="20">
        <f t="shared" si="2"/>
        <v>0</v>
      </c>
      <c r="F13" s="19">
        <f t="shared" si="3"/>
        <v>0</v>
      </c>
      <c r="G13" s="20">
        <f t="shared" si="4"/>
        <v>0</v>
      </c>
      <c r="H13" s="19">
        <f t="shared" si="5"/>
        <v>1</v>
      </c>
      <c r="I13" s="20">
        <f t="shared" si="6"/>
        <v>0</v>
      </c>
      <c r="J13" s="19">
        <f t="shared" si="7"/>
        <v>1</v>
      </c>
      <c r="K13" s="20">
        <f t="shared" si="8"/>
        <v>-1</v>
      </c>
      <c r="L13" s="19">
        <f t="shared" si="9"/>
        <v>0</v>
      </c>
      <c r="M13" s="20">
        <f t="shared" si="10"/>
        <v>0</v>
      </c>
      <c r="N13" s="19">
        <f t="shared" si="11"/>
        <v>0</v>
      </c>
      <c r="O13" s="20">
        <f t="shared" si="10"/>
        <v>0</v>
      </c>
      <c r="P13" s="19">
        <f t="shared" si="12"/>
        <v>0</v>
      </c>
      <c r="Q13" s="20">
        <f t="shared" si="13"/>
        <v>0</v>
      </c>
      <c r="R13" s="19">
        <f t="shared" si="14"/>
        <v>0</v>
      </c>
      <c r="S13" s="20">
        <f t="shared" si="15"/>
        <v>0</v>
      </c>
      <c r="T13" s="19">
        <f t="shared" si="16"/>
        <v>0</v>
      </c>
      <c r="U13" s="20">
        <f t="shared" si="17"/>
        <v>0</v>
      </c>
      <c r="V13" s="19">
        <f t="shared" si="18"/>
        <v>0</v>
      </c>
    </row>
    <row r="14" spans="1:22" x14ac:dyDescent="0.25">
      <c r="B14" s="3"/>
      <c r="C14" s="13"/>
      <c r="D14" s="13"/>
      <c r="E14" s="13"/>
      <c r="F14" s="13"/>
      <c r="G14" s="13"/>
      <c r="H14" s="13"/>
      <c r="I14" s="13"/>
      <c r="J14" s="13"/>
      <c r="K14" s="13"/>
      <c r="L14" s="13"/>
      <c r="M14" s="13"/>
      <c r="N14" s="13"/>
      <c r="O14" s="13"/>
      <c r="P14" s="13"/>
      <c r="Q14" s="13"/>
      <c r="R14" s="13"/>
      <c r="S14" s="13"/>
      <c r="T14" s="13"/>
      <c r="U14" s="13"/>
      <c r="V14" s="13"/>
    </row>
    <row r="15" spans="1:22" x14ac:dyDescent="0.25">
      <c r="B15" s="3"/>
      <c r="C15" s="13"/>
      <c r="D15" s="13"/>
      <c r="E15" s="13"/>
      <c r="F15" s="13"/>
      <c r="G15" s="13"/>
      <c r="H15" s="13"/>
      <c r="I15" s="13"/>
      <c r="J15" s="13"/>
      <c r="K15" s="13"/>
      <c r="L15" s="13"/>
      <c r="M15" s="13"/>
      <c r="N15" s="13"/>
      <c r="O15" s="13"/>
      <c r="P15" s="13"/>
      <c r="Q15" s="13"/>
      <c r="R15" s="13"/>
      <c r="S15" s="13"/>
      <c r="T15" s="13"/>
      <c r="U15" s="13"/>
      <c r="V15" s="13"/>
    </row>
    <row r="16" spans="1:22" x14ac:dyDescent="0.25">
      <c r="B16" s="3"/>
      <c r="C16" s="13"/>
      <c r="D16" s="13"/>
      <c r="E16" s="13"/>
      <c r="F16" s="13"/>
      <c r="G16" s="13"/>
      <c r="H16" s="13"/>
      <c r="I16" s="13"/>
      <c r="J16" s="13"/>
      <c r="K16" s="13"/>
      <c r="L16" s="13"/>
      <c r="M16" s="13"/>
      <c r="N16" s="13"/>
      <c r="O16" s="13"/>
      <c r="P16" s="13"/>
      <c r="Q16" s="13"/>
      <c r="R16" s="13"/>
      <c r="S16" s="13"/>
      <c r="T16" s="13"/>
      <c r="U16" s="13"/>
      <c r="V16" s="13"/>
    </row>
    <row r="17" spans="2:22" x14ac:dyDescent="0.25">
      <c r="B17" s="3"/>
      <c r="C17" s="13"/>
      <c r="D17" s="13"/>
      <c r="E17" s="13"/>
      <c r="F17" s="13"/>
      <c r="G17" s="13"/>
      <c r="H17" s="13"/>
      <c r="I17" s="13"/>
      <c r="J17" s="13"/>
      <c r="K17" s="13"/>
      <c r="L17" s="13"/>
      <c r="M17" s="13"/>
      <c r="N17" s="13"/>
      <c r="O17" s="13"/>
      <c r="P17" s="13"/>
      <c r="Q17" s="13"/>
      <c r="R17" s="13"/>
      <c r="S17" s="13"/>
      <c r="T17" s="13"/>
      <c r="U17" s="13"/>
      <c r="V17" s="13"/>
    </row>
    <row r="18" spans="2:22" x14ac:dyDescent="0.25">
      <c r="B18" s="3"/>
      <c r="C18" s="13"/>
      <c r="D18" s="13"/>
      <c r="E18" s="13"/>
      <c r="F18" s="13"/>
      <c r="G18" s="13"/>
      <c r="H18" s="13"/>
      <c r="I18" s="13"/>
      <c r="J18" s="13"/>
      <c r="K18" s="13"/>
      <c r="L18" s="13"/>
      <c r="M18" s="13"/>
      <c r="N18" s="13"/>
      <c r="O18" s="13"/>
      <c r="P18" s="13"/>
      <c r="Q18" s="13"/>
      <c r="R18" s="13"/>
      <c r="S18" s="13"/>
      <c r="T18" s="13"/>
      <c r="U18" s="13"/>
      <c r="V18" s="13"/>
    </row>
    <row r="19" spans="2:22" x14ac:dyDescent="0.25">
      <c r="B19" s="3"/>
      <c r="C19" s="13"/>
      <c r="D19" s="13"/>
      <c r="E19" s="13"/>
      <c r="F19" s="13"/>
      <c r="G19" s="13"/>
      <c r="H19" s="13"/>
      <c r="I19" s="13"/>
      <c r="J19" s="13"/>
      <c r="K19" s="13"/>
      <c r="L19" s="13"/>
      <c r="M19" s="13"/>
      <c r="N19" s="13"/>
      <c r="O19" s="13"/>
      <c r="P19" s="13"/>
      <c r="Q19" s="13"/>
      <c r="R19" s="13"/>
      <c r="S19" s="13"/>
      <c r="T19" s="13"/>
      <c r="U19" s="13"/>
      <c r="V19" s="13"/>
    </row>
    <row r="20" spans="2:22" x14ac:dyDescent="0.25">
      <c r="B20" s="3"/>
    </row>
    <row r="21" spans="2:22" x14ac:dyDescent="0.25">
      <c r="B21" s="3"/>
    </row>
  </sheetData>
  <sheetProtection sheet="1" objects="1" scenarios="1" formatColumns="0" formatRows="0"/>
  <mergeCells count="12">
    <mergeCell ref="C1:P1"/>
    <mergeCell ref="Q1:V1"/>
    <mergeCell ref="C2:D2"/>
    <mergeCell ref="E2:F2"/>
    <mergeCell ref="G2:H2"/>
    <mergeCell ref="I2:J2"/>
    <mergeCell ref="K2:L2"/>
    <mergeCell ref="M2:N2"/>
    <mergeCell ref="Q2:R2"/>
    <mergeCell ref="U2:V2"/>
    <mergeCell ref="S2:T2"/>
    <mergeCell ref="O2:P2"/>
  </mergeCells>
  <conditionalFormatting sqref="C3:N4 Q3:V4 Q7:V13 C7:N13">
    <cfRule type="cellIs" dxfId="24" priority="19" operator="greaterThan">
      <formula>2</formula>
    </cfRule>
    <cfRule type="cellIs" dxfId="23" priority="20" operator="equal">
      <formula>2</formula>
    </cfRule>
    <cfRule type="cellIs" dxfId="22" priority="21" operator="equal">
      <formula>1</formula>
    </cfRule>
    <cfRule type="cellIs" dxfId="21" priority="22" operator="lessThan">
      <formula>-2</formula>
    </cfRule>
    <cfRule type="cellIs" dxfId="20" priority="23" operator="equal">
      <formula>-2</formula>
    </cfRule>
    <cfRule type="cellIs" dxfId="19" priority="24" operator="equal">
      <formula>-1</formula>
    </cfRule>
  </conditionalFormatting>
  <conditionalFormatting sqref="O3:P4 O7:P13">
    <cfRule type="cellIs" dxfId="18" priority="13" operator="greaterThan">
      <formula>2</formula>
    </cfRule>
    <cfRule type="cellIs" dxfId="17" priority="14" operator="equal">
      <formula>2</formula>
    </cfRule>
    <cfRule type="cellIs" dxfId="16" priority="15" operator="equal">
      <formula>1</formula>
    </cfRule>
    <cfRule type="cellIs" dxfId="15" priority="16" operator="lessThan">
      <formula>-2</formula>
    </cfRule>
    <cfRule type="cellIs" dxfId="14" priority="17" operator="equal">
      <formula>-2</formula>
    </cfRule>
    <cfRule type="cellIs" dxfId="13" priority="18" operator="equal">
      <formula>-1</formula>
    </cfRule>
  </conditionalFormatting>
  <conditionalFormatting sqref="C5:N6 Q5:V6">
    <cfRule type="cellIs" dxfId="12" priority="7" operator="greaterThan">
      <formula>2</formula>
    </cfRule>
    <cfRule type="cellIs" dxfId="11" priority="8" operator="equal">
      <formula>2</formula>
    </cfRule>
    <cfRule type="cellIs" dxfId="10" priority="9" operator="equal">
      <formula>1</formula>
    </cfRule>
    <cfRule type="cellIs" dxfId="9" priority="10" operator="lessThan">
      <formula>-2</formula>
    </cfRule>
    <cfRule type="cellIs" dxfId="8" priority="11" operator="equal">
      <formula>-2</formula>
    </cfRule>
    <cfRule type="cellIs" dxfId="7" priority="12" operator="equal">
      <formula>-1</formula>
    </cfRule>
  </conditionalFormatting>
  <conditionalFormatting sqref="O5:P6">
    <cfRule type="cellIs" dxfId="6" priority="1" operator="greaterThan">
      <formula>2</formula>
    </cfRule>
    <cfRule type="cellIs" dxfId="5" priority="2" operator="equal">
      <formula>2</formula>
    </cfRule>
    <cfRule type="cellIs" dxfId="4" priority="3" operator="equal">
      <formula>1</formula>
    </cfRule>
    <cfRule type="cellIs" dxfId="3" priority="4" operator="lessThan">
      <formula>-2</formula>
    </cfRule>
    <cfRule type="cellIs" dxfId="2" priority="5" operator="equal">
      <formula>-2</formula>
    </cfRule>
    <cfRule type="cellIs" dxfId="1" priority="6" operator="equal">
      <formula>-1</formula>
    </cfRule>
  </conditionalFormatting>
  <pageMargins left="0.7" right="0.7" top="0.75" bottom="0.75" header="0.3" footer="0.3"/>
  <pageSetup paperSize="9" orientation="portrait" horizontalDpi="4294967293" verticalDpi="0" r:id="rId1"/>
  <ignoredErrors>
    <ignoredError sqref="D7:V13 D3:V4 D5:U6" formula="1"/>
  </ignoredErrors>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A1:H159"/>
  <sheetViews>
    <sheetView zoomScale="130" zoomScaleNormal="130" workbookViewId="0">
      <pane xSplit="7" ySplit="1" topLeftCell="H2" activePane="bottomRight" state="frozen"/>
      <selection pane="topRight" activeCell="H1" sqref="H1"/>
      <selection pane="bottomLeft" activeCell="A2" sqref="A2"/>
      <selection pane="bottomRight" activeCell="H4" sqref="H4"/>
    </sheetView>
  </sheetViews>
  <sheetFormatPr baseColWidth="10" defaultColWidth="11.5703125" defaultRowHeight="15" x14ac:dyDescent="0.25"/>
  <cols>
    <col min="1" max="1" width="6.28515625" style="1" customWidth="1"/>
    <col min="2" max="2" width="7.140625" style="1" customWidth="1"/>
    <col min="3" max="3" width="7.28515625" style="1" customWidth="1"/>
    <col min="4" max="4" width="6.7109375" style="1" customWidth="1"/>
    <col min="5" max="5" width="28.140625" style="1" customWidth="1"/>
    <col min="6" max="6" width="19.7109375" style="1" customWidth="1"/>
    <col min="7" max="7" width="6.5703125" style="10" customWidth="1"/>
    <col min="8" max="8" width="109.5703125" style="1" customWidth="1"/>
    <col min="9" max="16384" width="11.5703125" style="1"/>
  </cols>
  <sheetData>
    <row r="1" spans="1:8" ht="30.6" customHeight="1" thickBot="1" x14ac:dyDescent="0.3">
      <c r="A1" s="53" t="s">
        <v>30</v>
      </c>
      <c r="B1" s="53" t="s">
        <v>54</v>
      </c>
      <c r="C1" s="53" t="s">
        <v>82</v>
      </c>
      <c r="D1" s="53" t="s">
        <v>83</v>
      </c>
      <c r="E1" s="53" t="s">
        <v>32</v>
      </c>
      <c r="F1" s="53" t="s">
        <v>53</v>
      </c>
      <c r="G1" s="54" t="s">
        <v>31</v>
      </c>
      <c r="H1" s="53" t="s">
        <v>65</v>
      </c>
    </row>
    <row r="2" spans="1:8" ht="45.75" thickTop="1" x14ac:dyDescent="0.25">
      <c r="A2" s="1" t="str">
        <f>IF(ISBLANK(G2),"",IF(G2&gt;0,"G","R")&amp;TEXT(ROW()-1,"00"))</f>
        <v>R01</v>
      </c>
      <c r="B2" s="1" t="str">
        <f>IF(LEN(A2)&gt;0,VLOOKUP(MID(A2,1,1),Abbreviations,2,FALSE),"")</f>
        <v>Risk</v>
      </c>
      <c r="E2" s="1" t="s">
        <v>52</v>
      </c>
      <c r="F2" s="1" t="s">
        <v>2</v>
      </c>
      <c r="G2" s="13">
        <v>-2</v>
      </c>
      <c r="H2" s="11" t="s">
        <v>118</v>
      </c>
    </row>
    <row r="3" spans="1:8" ht="30" x14ac:dyDescent="0.25">
      <c r="A3" s="1" t="str">
        <f>IF(ISBLANK(G3),"",IF(G3&gt;0,"G","R")&amp;TEXT(ROW()-1,"00"))</f>
        <v>G02</v>
      </c>
      <c r="B3" s="1" t="str">
        <f>IF(LEN(A3)&gt;0,VLOOKUP(MID(A3,1,1),Abbreviations,2,FALSE),"")</f>
        <v>Goal</v>
      </c>
      <c r="E3" s="1" t="s">
        <v>52</v>
      </c>
      <c r="F3" s="1" t="s">
        <v>2</v>
      </c>
      <c r="G3" s="13">
        <v>1</v>
      </c>
      <c r="H3" s="11" t="s">
        <v>106</v>
      </c>
    </row>
    <row r="4" spans="1:8" ht="45" x14ac:dyDescent="0.25">
      <c r="A4" s="1" t="str">
        <f t="shared" ref="A4" si="0">IF(ISBLANK(G4),"",IF(G4&gt;0,"G","R")&amp;TEXT(ROW()-1,"00"))</f>
        <v>R03</v>
      </c>
      <c r="B4" s="1" t="str">
        <f t="shared" ref="B4" si="1">IF(LEN(A4)&gt;0,VLOOKUP(MID(A4,1,1),Abbreviations,2,FALSE),"")</f>
        <v>Risk</v>
      </c>
      <c r="C4" s="1" t="s">
        <v>71</v>
      </c>
      <c r="D4" s="1" t="s">
        <v>84</v>
      </c>
      <c r="E4" s="1" t="s">
        <v>52</v>
      </c>
      <c r="F4" s="1" t="s">
        <v>0</v>
      </c>
      <c r="G4" s="13">
        <v>-1</v>
      </c>
      <c r="H4" s="1" t="s">
        <v>87</v>
      </c>
    </row>
    <row r="5" spans="1:8" ht="44.45" customHeight="1" x14ac:dyDescent="0.25">
      <c r="A5" s="1" t="str">
        <f>IF(ISBLANK(G5),"",IF(G5&gt;0,"G","R")&amp;TEXT(ROW()-1,"00"))</f>
        <v>G04</v>
      </c>
      <c r="B5" s="1" t="str">
        <f t="shared" ref="B5:B74" si="2">IF(LEN(A5)&gt;0,VLOOKUP(MID(A5,1,1),Abbreviations,2,FALSE),"")</f>
        <v>Goal</v>
      </c>
      <c r="E5" s="1" t="s">
        <v>52</v>
      </c>
      <c r="F5" s="1" t="s">
        <v>1</v>
      </c>
      <c r="G5" s="13">
        <v>2</v>
      </c>
      <c r="H5" s="15" t="s">
        <v>124</v>
      </c>
    </row>
    <row r="6" spans="1:8" ht="45" x14ac:dyDescent="0.25">
      <c r="A6" s="1" t="str">
        <f t="shared" ref="A6:A11" si="3">IF(ISBLANK(G6),"",IF(G6&gt;0,"G","R")&amp;TEXT(ROW()-1,"00"))</f>
        <v>R05</v>
      </c>
      <c r="B6" s="1" t="str">
        <f t="shared" si="2"/>
        <v>Risk</v>
      </c>
      <c r="E6" s="1" t="s">
        <v>52</v>
      </c>
      <c r="F6" s="1" t="s">
        <v>1</v>
      </c>
      <c r="G6" s="13">
        <v>-2</v>
      </c>
      <c r="H6" s="15" t="s">
        <v>67</v>
      </c>
    </row>
    <row r="7" spans="1:8" ht="30" x14ac:dyDescent="0.25">
      <c r="A7" s="1" t="str">
        <f>IF(ISBLANK(G7),"",IF(G7&gt;0,"G","R")&amp;TEXT(ROW()-1,"00"))</f>
        <v>G06</v>
      </c>
      <c r="B7" s="1" t="str">
        <f>IF(LEN(A7)&gt;0,VLOOKUP(MID(A7,1,1),Abbreviations,2,FALSE),"")</f>
        <v>Goal</v>
      </c>
      <c r="E7" s="1" t="s">
        <v>52</v>
      </c>
      <c r="F7" s="1" t="s">
        <v>5</v>
      </c>
      <c r="G7" s="13">
        <v>2</v>
      </c>
      <c r="H7" s="1" t="s">
        <v>142</v>
      </c>
    </row>
    <row r="8" spans="1:8" ht="30" x14ac:dyDescent="0.25">
      <c r="A8" s="1" t="str">
        <f t="shared" si="3"/>
        <v>R07</v>
      </c>
      <c r="B8" s="1" t="str">
        <f t="shared" si="2"/>
        <v>Risk</v>
      </c>
      <c r="E8" s="1" t="s">
        <v>52</v>
      </c>
      <c r="F8" s="1" t="s">
        <v>4</v>
      </c>
      <c r="G8" s="13">
        <v>-1</v>
      </c>
      <c r="H8" s="1" t="s">
        <v>66</v>
      </c>
    </row>
    <row r="9" spans="1:8" ht="30" x14ac:dyDescent="0.25">
      <c r="A9" s="1" t="str">
        <f t="shared" si="3"/>
        <v>R08</v>
      </c>
      <c r="B9" s="1" t="str">
        <f t="shared" si="2"/>
        <v>Risk</v>
      </c>
      <c r="E9" s="1" t="s">
        <v>52</v>
      </c>
      <c r="F9" s="1" t="s">
        <v>4</v>
      </c>
      <c r="G9" s="13">
        <v>-1</v>
      </c>
      <c r="H9" s="1" t="s">
        <v>159</v>
      </c>
    </row>
    <row r="10" spans="1:8" ht="30" x14ac:dyDescent="0.25">
      <c r="A10" s="1" t="str">
        <f t="shared" si="3"/>
        <v>R09</v>
      </c>
      <c r="B10" s="1" t="str">
        <f t="shared" si="2"/>
        <v>Risk</v>
      </c>
      <c r="E10" s="1" t="s">
        <v>52</v>
      </c>
      <c r="F10" s="1" t="s">
        <v>4</v>
      </c>
      <c r="G10" s="13">
        <v>-1</v>
      </c>
      <c r="H10" s="1" t="s">
        <v>161</v>
      </c>
    </row>
    <row r="11" spans="1:8" ht="30" x14ac:dyDescent="0.25">
      <c r="A11" s="1" t="str">
        <f t="shared" si="3"/>
        <v>R10</v>
      </c>
      <c r="B11" s="1" t="str">
        <f t="shared" si="2"/>
        <v>Risk</v>
      </c>
      <c r="E11" s="1" t="s">
        <v>52</v>
      </c>
      <c r="F11" s="1" t="s">
        <v>4</v>
      </c>
      <c r="G11" s="13">
        <v>-1</v>
      </c>
      <c r="H11" s="1" t="s">
        <v>162</v>
      </c>
    </row>
    <row r="12" spans="1:8" ht="30" x14ac:dyDescent="0.25">
      <c r="A12" s="1" t="str">
        <f>IF(ISBLANK(G12),"",IF(G12&gt;0,"G","R")&amp;TEXT(ROW()-1,"00"))</f>
        <v>G11</v>
      </c>
      <c r="B12" s="1" t="str">
        <f>IF(LEN(A12)&gt;0,VLOOKUP(MID(A12,1,1),Abbreviations,2,FALSE),"")</f>
        <v>Goal</v>
      </c>
      <c r="E12" s="1" t="s">
        <v>57</v>
      </c>
      <c r="F12" s="15" t="s">
        <v>1</v>
      </c>
      <c r="G12" s="13">
        <v>1</v>
      </c>
      <c r="H12" s="1" t="s">
        <v>68</v>
      </c>
    </row>
    <row r="13" spans="1:8" ht="30" x14ac:dyDescent="0.25">
      <c r="A13" s="1" t="str">
        <f>IF(ISBLANK(G13),"",IF(G13&gt;0,"G","R")&amp;TEXT(ROW()-1,"00"))</f>
        <v>R12</v>
      </c>
      <c r="B13" s="1" t="str">
        <f>IF(LEN(A13)&gt;0,VLOOKUP(MID(A13,1,1),Abbreviations,2,FALSE),"")</f>
        <v>Risk</v>
      </c>
      <c r="E13" s="1" t="s">
        <v>57</v>
      </c>
      <c r="F13" s="1" t="s">
        <v>1</v>
      </c>
      <c r="G13" s="13">
        <v>-2</v>
      </c>
      <c r="H13" s="1" t="s">
        <v>69</v>
      </c>
    </row>
    <row r="14" spans="1:8" ht="30" x14ac:dyDescent="0.25">
      <c r="A14" s="1" t="str">
        <f>IF(ISBLANK(G14),"",IF(G14&gt;0,"G","R")&amp;TEXT(ROW()-1,"00"))</f>
        <v>R13</v>
      </c>
      <c r="B14" s="1" t="str">
        <f>IF(LEN(A14)&gt;0,VLOOKUP(MID(A14,1,1),Abbreviations,2,FALSE),"")</f>
        <v>Risk</v>
      </c>
      <c r="E14" s="1" t="s">
        <v>57</v>
      </c>
      <c r="F14" s="1" t="s">
        <v>4</v>
      </c>
      <c r="G14" s="13">
        <v>-1</v>
      </c>
      <c r="H14" s="1" t="s">
        <v>160</v>
      </c>
    </row>
    <row r="15" spans="1:8" ht="30" x14ac:dyDescent="0.25">
      <c r="A15" s="1" t="str">
        <f t="shared" ref="A15:A16" si="4">IF(ISBLANK(G15),"",IF(G15&gt;0,"G","R")&amp;TEXT(ROW()-1,"00"))</f>
        <v>R14</v>
      </c>
      <c r="B15" s="1" t="str">
        <f>IF(LEN(A15)&gt;0,VLOOKUP(MID(A15,1,1),Abbreviations,2,FALSE),"")</f>
        <v>Risk</v>
      </c>
      <c r="E15" s="1" t="s">
        <v>57</v>
      </c>
      <c r="F15" s="1" t="s">
        <v>4</v>
      </c>
      <c r="G15" s="13">
        <v>-1</v>
      </c>
      <c r="H15" s="1" t="s">
        <v>172</v>
      </c>
    </row>
    <row r="16" spans="1:8" x14ac:dyDescent="0.25">
      <c r="A16" s="1" t="str">
        <f t="shared" si="4"/>
        <v>R15</v>
      </c>
      <c r="B16" s="1" t="str">
        <f>IF(LEN(A16)&gt;0,VLOOKUP(MID(A16,1,1),Abbreviations,2,FALSE),"")</f>
        <v>Risk</v>
      </c>
      <c r="E16" s="1" t="s">
        <v>57</v>
      </c>
      <c r="F16" s="1" t="s">
        <v>4</v>
      </c>
      <c r="G16" s="13">
        <v>-1</v>
      </c>
      <c r="H16" s="1" t="s">
        <v>181</v>
      </c>
    </row>
    <row r="17" spans="1:8" ht="30" x14ac:dyDescent="0.25">
      <c r="A17" s="1" t="str">
        <f t="shared" ref="A17:A106" si="5">IF(ISBLANK(G17),"",IF(G17&gt;0,"G","R")&amp;TEXT(ROW()-1,"00"))</f>
        <v>R16</v>
      </c>
      <c r="B17" s="1" t="str">
        <f t="shared" si="2"/>
        <v>Risk</v>
      </c>
      <c r="C17" s="1" t="s">
        <v>70</v>
      </c>
      <c r="E17" s="1" t="s">
        <v>57</v>
      </c>
      <c r="F17" s="1" t="s">
        <v>3</v>
      </c>
      <c r="G17" s="13">
        <v>-1</v>
      </c>
      <c r="H17" s="1" t="s">
        <v>72</v>
      </c>
    </row>
    <row r="18" spans="1:8" x14ac:dyDescent="0.25">
      <c r="A18" s="1" t="str">
        <f t="shared" si="5"/>
        <v>R17</v>
      </c>
      <c r="B18" s="1" t="str">
        <f t="shared" si="2"/>
        <v>Risk</v>
      </c>
      <c r="E18" s="1" t="s">
        <v>57</v>
      </c>
      <c r="F18" s="1" t="s">
        <v>78</v>
      </c>
      <c r="G18" s="13">
        <v>-2</v>
      </c>
      <c r="H18" s="1" t="s">
        <v>73</v>
      </c>
    </row>
    <row r="19" spans="1:8" ht="30" x14ac:dyDescent="0.25">
      <c r="A19" s="1" t="str">
        <f t="shared" ref="A19" si="6">IF(ISBLANK(G19),"",IF(G19&gt;0,"G","R")&amp;TEXT(ROW()-1,"00"))</f>
        <v>R18</v>
      </c>
      <c r="B19" s="1" t="str">
        <f t="shared" si="2"/>
        <v>Risk</v>
      </c>
      <c r="E19" s="1" t="s">
        <v>57</v>
      </c>
      <c r="F19" s="1" t="s">
        <v>78</v>
      </c>
      <c r="G19" s="13">
        <v>-1</v>
      </c>
      <c r="H19" s="1" t="s">
        <v>75</v>
      </c>
    </row>
    <row r="20" spans="1:8" ht="30" x14ac:dyDescent="0.25">
      <c r="A20" s="1" t="str">
        <f t="shared" ref="A20:A21" si="7">IF(ISBLANK(G20),"",IF(G20&gt;0,"G","R")&amp;TEXT(ROW()-1,"00"))</f>
        <v>R19</v>
      </c>
      <c r="B20" s="1" t="str">
        <f t="shared" ref="B20:B21" si="8">IF(LEN(A20)&gt;0,VLOOKUP(MID(A20,1,1),Abbreviations,2,FALSE),"")</f>
        <v>Risk</v>
      </c>
      <c r="E20" s="1" t="s">
        <v>57</v>
      </c>
      <c r="F20" s="1" t="s">
        <v>6</v>
      </c>
      <c r="G20" s="13">
        <v>-1</v>
      </c>
      <c r="H20" s="1" t="s">
        <v>163</v>
      </c>
    </row>
    <row r="21" spans="1:8" ht="30" x14ac:dyDescent="0.25">
      <c r="A21" s="1" t="str">
        <f t="shared" si="7"/>
        <v>G20</v>
      </c>
      <c r="B21" s="1" t="str">
        <f t="shared" si="8"/>
        <v>Goal</v>
      </c>
      <c r="E21" s="1" t="s">
        <v>57</v>
      </c>
      <c r="F21" s="1" t="s">
        <v>6</v>
      </c>
      <c r="G21" s="13">
        <v>2</v>
      </c>
      <c r="H21" s="1" t="s">
        <v>164</v>
      </c>
    </row>
    <row r="22" spans="1:8" ht="30" x14ac:dyDescent="0.25">
      <c r="A22" s="1" t="str">
        <f t="shared" ref="A22:A25" si="9">IF(ISBLANK(G22),"",IF(G22&gt;0,"G","R")&amp;TEXT(ROW()-1,"00"))</f>
        <v>R21</v>
      </c>
      <c r="B22" s="1" t="str">
        <f t="shared" ref="B22:B25" si="10">IF(LEN(A22)&gt;0,VLOOKUP(MID(A22,1,1),Abbreviations,2,FALSE),"")</f>
        <v>Risk</v>
      </c>
      <c r="E22" s="1" t="s">
        <v>169</v>
      </c>
      <c r="F22" s="1" t="s">
        <v>4</v>
      </c>
      <c r="G22" s="13">
        <v>-1</v>
      </c>
      <c r="H22" s="1" t="s">
        <v>170</v>
      </c>
    </row>
    <row r="23" spans="1:8" ht="30" x14ac:dyDescent="0.25">
      <c r="A23" s="1" t="str">
        <f t="shared" si="9"/>
        <v>R22</v>
      </c>
      <c r="B23" s="1" t="str">
        <f t="shared" si="10"/>
        <v>Risk</v>
      </c>
      <c r="E23" s="1" t="s">
        <v>169</v>
      </c>
      <c r="F23" s="1" t="s">
        <v>4</v>
      </c>
      <c r="G23" s="13">
        <v>-1</v>
      </c>
      <c r="H23" s="1" t="s">
        <v>171</v>
      </c>
    </row>
    <row r="24" spans="1:8" ht="30" x14ac:dyDescent="0.25">
      <c r="A24" s="1" t="str">
        <f t="shared" si="9"/>
        <v>R23</v>
      </c>
      <c r="B24" s="1" t="str">
        <f t="shared" si="10"/>
        <v>Risk</v>
      </c>
      <c r="E24" s="1" t="s">
        <v>169</v>
      </c>
      <c r="F24" s="1" t="s">
        <v>4</v>
      </c>
      <c r="G24" s="13">
        <v>-1</v>
      </c>
      <c r="H24" s="1" t="s">
        <v>173</v>
      </c>
    </row>
    <row r="25" spans="1:8" ht="30" x14ac:dyDescent="0.25">
      <c r="A25" s="1" t="str">
        <f t="shared" si="9"/>
        <v>R24</v>
      </c>
      <c r="B25" s="1" t="str">
        <f t="shared" si="10"/>
        <v>Risk</v>
      </c>
      <c r="E25" s="1" t="s">
        <v>169</v>
      </c>
      <c r="F25" s="1" t="s">
        <v>78</v>
      </c>
      <c r="G25" s="13">
        <v>-2</v>
      </c>
      <c r="H25" s="1" t="s">
        <v>174</v>
      </c>
    </row>
    <row r="26" spans="1:8" ht="30" x14ac:dyDescent="0.25">
      <c r="A26" s="1" t="str">
        <f t="shared" ref="A26:A29" si="11">IF(ISBLANK(G26),"",IF(G26&gt;0,"G","R")&amp;TEXT(ROW()-1,"00"))</f>
        <v>G25</v>
      </c>
      <c r="B26" s="1" t="str">
        <f t="shared" ref="B26:B29" si="12">IF(LEN(A26)&gt;0,VLOOKUP(MID(A26,1,1),Abbreviations,2,FALSE),"")</f>
        <v>Goal</v>
      </c>
      <c r="E26" s="1" t="s">
        <v>169</v>
      </c>
      <c r="F26" s="1" t="s">
        <v>78</v>
      </c>
      <c r="G26" s="13">
        <v>1</v>
      </c>
      <c r="H26" s="1" t="s">
        <v>175</v>
      </c>
    </row>
    <row r="27" spans="1:8" ht="45" x14ac:dyDescent="0.25">
      <c r="A27" s="1" t="str">
        <f t="shared" si="11"/>
        <v>R26</v>
      </c>
      <c r="B27" s="1" t="str">
        <f t="shared" si="12"/>
        <v>Risk</v>
      </c>
      <c r="E27" s="1" t="s">
        <v>168</v>
      </c>
      <c r="F27" s="1" t="s">
        <v>4</v>
      </c>
      <c r="G27" s="13">
        <v>-2</v>
      </c>
      <c r="H27" s="1" t="s">
        <v>185</v>
      </c>
    </row>
    <row r="28" spans="1:8" ht="30" x14ac:dyDescent="0.25">
      <c r="A28" s="1" t="str">
        <f t="shared" si="11"/>
        <v>R27</v>
      </c>
      <c r="B28" s="1" t="str">
        <f t="shared" si="12"/>
        <v>Risk</v>
      </c>
      <c r="E28" s="1" t="s">
        <v>168</v>
      </c>
      <c r="F28" s="1" t="s">
        <v>4</v>
      </c>
      <c r="G28" s="13">
        <v>-2</v>
      </c>
      <c r="H28" s="1" t="s">
        <v>184</v>
      </c>
    </row>
    <row r="29" spans="1:8" ht="30" x14ac:dyDescent="0.25">
      <c r="A29" s="1" t="str">
        <f t="shared" si="11"/>
        <v>R28</v>
      </c>
      <c r="B29" s="1" t="str">
        <f t="shared" si="12"/>
        <v>Risk</v>
      </c>
      <c r="E29" s="1" t="s">
        <v>168</v>
      </c>
      <c r="F29" s="1" t="s">
        <v>4</v>
      </c>
      <c r="G29" s="13">
        <v>-2</v>
      </c>
      <c r="H29" s="1" t="s">
        <v>188</v>
      </c>
    </row>
    <row r="30" spans="1:8" x14ac:dyDescent="0.25">
      <c r="A30" s="1" t="str">
        <f t="shared" ref="A30:A31" si="13">IF(ISBLANK(G30),"",IF(G30&gt;0,"G","R")&amp;TEXT(ROW()-1,"00"))</f>
        <v>G29</v>
      </c>
      <c r="B30" s="1" t="str">
        <f t="shared" ref="B30:B31" si="14">IF(LEN(A30)&gt;0,VLOOKUP(MID(A30,1,1),Abbreviations,2,FALSE),"")</f>
        <v>Goal</v>
      </c>
      <c r="E30" s="1" t="s">
        <v>168</v>
      </c>
      <c r="F30" s="1" t="s">
        <v>6</v>
      </c>
      <c r="G30" s="13">
        <v>1</v>
      </c>
      <c r="H30" s="1" t="s">
        <v>176</v>
      </c>
    </row>
    <row r="31" spans="1:8" ht="30" x14ac:dyDescent="0.25">
      <c r="A31" s="1" t="str">
        <f t="shared" si="13"/>
        <v>R30</v>
      </c>
      <c r="B31" s="1" t="str">
        <f t="shared" si="14"/>
        <v>Risk</v>
      </c>
      <c r="E31" s="1" t="s">
        <v>168</v>
      </c>
      <c r="F31" s="1" t="s">
        <v>78</v>
      </c>
      <c r="G31" s="13">
        <v>-2</v>
      </c>
      <c r="H31" s="1" t="s">
        <v>177</v>
      </c>
    </row>
    <row r="32" spans="1:8" x14ac:dyDescent="0.25">
      <c r="A32" s="1" t="str">
        <f t="shared" ref="A32:A33" si="15">IF(ISBLANK(G32),"",IF(G32&gt;0,"G","R")&amp;TEXT(ROW()-1,"00"))</f>
        <v>R31</v>
      </c>
      <c r="B32" s="1" t="str">
        <f t="shared" ref="B32" si="16">IF(LEN(A32)&gt;0,VLOOKUP(MID(A32,1,1),Abbreviations,2,FALSE),"")</f>
        <v>Risk</v>
      </c>
      <c r="E32" s="1" t="s">
        <v>168</v>
      </c>
      <c r="F32" s="1" t="s">
        <v>7</v>
      </c>
      <c r="G32" s="13">
        <v>-1</v>
      </c>
      <c r="H32" s="1" t="s">
        <v>178</v>
      </c>
    </row>
    <row r="33" spans="1:8" x14ac:dyDescent="0.25">
      <c r="A33" s="1" t="str">
        <f t="shared" si="15"/>
        <v>R32</v>
      </c>
      <c r="B33" s="1" t="str">
        <f t="shared" ref="B33" si="17">IF(LEN(A33)&gt;0,VLOOKUP(MID(A33,1,1),Abbreviations,2,FALSE),"")</f>
        <v>Risk</v>
      </c>
      <c r="E33" s="1" t="s">
        <v>168</v>
      </c>
      <c r="F33" s="1" t="s">
        <v>7</v>
      </c>
      <c r="G33" s="13">
        <v>-1</v>
      </c>
      <c r="H33" s="1" t="s">
        <v>179</v>
      </c>
    </row>
    <row r="34" spans="1:8" ht="30" x14ac:dyDescent="0.25">
      <c r="A34" s="1" t="str">
        <f t="shared" ref="A34" si="18">IF(ISBLANK(G34),"",IF(G34&gt;0,"G","R")&amp;TEXT(ROW()-1,"00"))</f>
        <v>G33</v>
      </c>
      <c r="B34" s="1" t="str">
        <f t="shared" ref="B34" si="19">IF(LEN(A34)&gt;0,VLOOKUP(MID(A34,1,1),Abbreviations,2,FALSE),"")</f>
        <v>Goal</v>
      </c>
      <c r="E34" s="1" t="s">
        <v>168</v>
      </c>
      <c r="F34" s="1" t="s">
        <v>7</v>
      </c>
      <c r="G34" s="13">
        <v>1</v>
      </c>
      <c r="H34" s="1" t="s">
        <v>180</v>
      </c>
    </row>
    <row r="35" spans="1:8" ht="30" x14ac:dyDescent="0.25">
      <c r="A35" s="1" t="str">
        <f t="shared" ref="A35:A65" si="20">IF(ISBLANK(G35),"",IF(G35&gt;0,"G","R")&amp;TEXT(ROW()-1,"00"))</f>
        <v>G34</v>
      </c>
      <c r="B35" s="1" t="str">
        <f t="shared" si="2"/>
        <v>Goal</v>
      </c>
      <c r="C35" s="1" t="s">
        <v>71</v>
      </c>
      <c r="E35" s="1" t="s">
        <v>38</v>
      </c>
      <c r="F35" s="1" t="s">
        <v>78</v>
      </c>
      <c r="G35" s="13">
        <v>1</v>
      </c>
      <c r="H35" s="1" t="s">
        <v>74</v>
      </c>
    </row>
    <row r="36" spans="1:8" ht="30" x14ac:dyDescent="0.25">
      <c r="A36" s="1" t="str">
        <f t="shared" ref="A36:A40" si="21">IF(ISBLANK(G36),"",IF(G36&gt;0,"G","R")&amp;TEXT(ROW()-1,"00"))</f>
        <v>G35</v>
      </c>
      <c r="B36" s="1" t="str">
        <f t="shared" ref="B36" si="22">IF(LEN(A36)&gt;0,VLOOKUP(MID(A36,1,1),Abbreviations,2,FALSE),"")</f>
        <v>Goal</v>
      </c>
      <c r="C36" s="1" t="s">
        <v>71</v>
      </c>
      <c r="E36" s="1" t="s">
        <v>38</v>
      </c>
      <c r="F36" s="1" t="s">
        <v>6</v>
      </c>
      <c r="G36" s="13">
        <v>1</v>
      </c>
      <c r="H36" s="1" t="s">
        <v>165</v>
      </c>
    </row>
    <row r="37" spans="1:8" ht="45" x14ac:dyDescent="0.25">
      <c r="A37" s="1" t="str">
        <f t="shared" ref="A37:A39" si="23">IF(ISBLANK(G37),"",IF(G37&gt;0,"G","R")&amp;TEXT(ROW()-1,"00"))</f>
        <v>R36</v>
      </c>
      <c r="B37" s="1" t="str">
        <f t="shared" ref="B37:B39" si="24">IF(LEN(A37)&gt;0,VLOOKUP(MID(A37,1,1),Abbreviations,2,FALSE),"")</f>
        <v>Risk</v>
      </c>
      <c r="C37" s="1" t="s">
        <v>71</v>
      </c>
      <c r="D37" s="1" t="s">
        <v>85</v>
      </c>
      <c r="E37" s="1" t="s">
        <v>76</v>
      </c>
      <c r="F37" s="1" t="s">
        <v>4</v>
      </c>
      <c r="G37" s="13">
        <v>-2</v>
      </c>
      <c r="H37" s="1" t="s">
        <v>186</v>
      </c>
    </row>
    <row r="38" spans="1:8" ht="30" x14ac:dyDescent="0.25">
      <c r="A38" s="1" t="str">
        <f t="shared" si="23"/>
        <v>R37</v>
      </c>
      <c r="B38" s="1" t="str">
        <f t="shared" si="24"/>
        <v>Risk</v>
      </c>
      <c r="C38" s="1" t="s">
        <v>71</v>
      </c>
      <c r="D38" s="1" t="s">
        <v>85</v>
      </c>
      <c r="E38" s="1" t="s">
        <v>76</v>
      </c>
      <c r="F38" s="1" t="s">
        <v>4</v>
      </c>
      <c r="G38" s="13">
        <v>-2</v>
      </c>
      <c r="H38" s="1" t="s">
        <v>182</v>
      </c>
    </row>
    <row r="39" spans="1:8" x14ac:dyDescent="0.25">
      <c r="A39" s="1" t="str">
        <f t="shared" si="23"/>
        <v>R38</v>
      </c>
      <c r="B39" s="1" t="str">
        <f t="shared" si="24"/>
        <v>Risk</v>
      </c>
      <c r="C39" s="1" t="s">
        <v>71</v>
      </c>
      <c r="D39" s="1" t="s">
        <v>85</v>
      </c>
      <c r="E39" s="1" t="s">
        <v>76</v>
      </c>
      <c r="F39" s="1" t="s">
        <v>4</v>
      </c>
      <c r="G39" s="13">
        <v>-1</v>
      </c>
      <c r="H39" s="1" t="s">
        <v>183</v>
      </c>
    </row>
    <row r="40" spans="1:8" ht="60" x14ac:dyDescent="0.25">
      <c r="A40" s="1" t="str">
        <f t="shared" si="21"/>
        <v>G39</v>
      </c>
      <c r="B40" s="1" t="str">
        <f t="shared" ref="B40" si="25">IF(LEN(A40)&gt;0,VLOOKUP(MID(A40,1,1),Abbreviations,2,FALSE),"")</f>
        <v>Goal</v>
      </c>
      <c r="C40" s="1" t="s">
        <v>71</v>
      </c>
      <c r="E40" s="1" t="s">
        <v>76</v>
      </c>
      <c r="F40" s="1" t="s">
        <v>6</v>
      </c>
      <c r="G40" s="13">
        <v>1</v>
      </c>
      <c r="H40" s="1" t="s">
        <v>166</v>
      </c>
    </row>
    <row r="41" spans="1:8" ht="30" x14ac:dyDescent="0.25">
      <c r="A41" s="1" t="str">
        <f t="shared" si="20"/>
        <v>G40</v>
      </c>
      <c r="B41" s="1" t="str">
        <f t="shared" si="2"/>
        <v>Goal</v>
      </c>
      <c r="C41" s="1" t="s">
        <v>71</v>
      </c>
      <c r="E41" s="1" t="s">
        <v>76</v>
      </c>
      <c r="F41" s="1" t="s">
        <v>78</v>
      </c>
      <c r="G41" s="13">
        <v>1</v>
      </c>
      <c r="H41" s="1" t="s">
        <v>79</v>
      </c>
    </row>
    <row r="42" spans="1:8" ht="30" x14ac:dyDescent="0.25">
      <c r="A42" s="1" t="str">
        <f t="shared" ref="A42" si="26">IF(ISBLANK(G42),"",IF(G42&gt;0,"G","R")&amp;TEXT(ROW()-1,"00"))</f>
        <v>R41</v>
      </c>
      <c r="B42" s="1" t="str">
        <f t="shared" si="2"/>
        <v>Risk</v>
      </c>
      <c r="C42" s="1" t="s">
        <v>71</v>
      </c>
      <c r="D42" s="1" t="s">
        <v>85</v>
      </c>
      <c r="E42" s="1" t="s">
        <v>76</v>
      </c>
      <c r="F42" s="1" t="s">
        <v>78</v>
      </c>
      <c r="G42" s="13">
        <v>-1</v>
      </c>
      <c r="H42" s="1" t="s">
        <v>81</v>
      </c>
    </row>
    <row r="43" spans="1:8" ht="30" x14ac:dyDescent="0.25">
      <c r="A43" s="1" t="str">
        <f t="shared" si="20"/>
        <v>R42</v>
      </c>
      <c r="B43" s="1" t="str">
        <f t="shared" si="2"/>
        <v>Risk</v>
      </c>
      <c r="C43" s="1" t="s">
        <v>71</v>
      </c>
      <c r="D43" s="1" t="s">
        <v>85</v>
      </c>
      <c r="E43" s="1" t="s">
        <v>39</v>
      </c>
      <c r="F43" s="1" t="s">
        <v>78</v>
      </c>
      <c r="G43" s="13">
        <v>-2</v>
      </c>
      <c r="H43" s="1" t="s">
        <v>80</v>
      </c>
    </row>
    <row r="44" spans="1:8" ht="30" x14ac:dyDescent="0.25">
      <c r="A44" s="1" t="str">
        <f t="shared" si="20"/>
        <v>R43</v>
      </c>
      <c r="B44" s="1" t="str">
        <f t="shared" si="2"/>
        <v>Risk</v>
      </c>
      <c r="C44" s="1" t="s">
        <v>71</v>
      </c>
      <c r="D44" s="1" t="s">
        <v>85</v>
      </c>
      <c r="E44" s="1" t="s">
        <v>39</v>
      </c>
      <c r="F44" s="1" t="s">
        <v>4</v>
      </c>
      <c r="G44" s="13">
        <v>-2</v>
      </c>
      <c r="H44" s="1" t="s">
        <v>251</v>
      </c>
    </row>
    <row r="45" spans="1:8" ht="30" x14ac:dyDescent="0.25">
      <c r="A45" s="1" t="str">
        <f t="shared" si="20"/>
        <v>R44</v>
      </c>
      <c r="B45" s="1" t="str">
        <f t="shared" si="2"/>
        <v>Risk</v>
      </c>
      <c r="C45" s="1" t="s">
        <v>99</v>
      </c>
      <c r="E45" s="1" t="s">
        <v>40</v>
      </c>
      <c r="F45" s="1" t="s">
        <v>3</v>
      </c>
      <c r="G45" s="13">
        <v>-1</v>
      </c>
      <c r="H45" s="1" t="s">
        <v>88</v>
      </c>
    </row>
    <row r="46" spans="1:8" ht="30" x14ac:dyDescent="0.25">
      <c r="A46" s="1" t="str">
        <f t="shared" si="20"/>
        <v>G45</v>
      </c>
      <c r="B46" s="1" t="str">
        <f t="shared" si="2"/>
        <v>Goal</v>
      </c>
      <c r="C46" s="1" t="s">
        <v>99</v>
      </c>
      <c r="E46" s="1" t="s">
        <v>40</v>
      </c>
      <c r="F46" s="1" t="s">
        <v>6</v>
      </c>
      <c r="G46" s="13">
        <v>1</v>
      </c>
      <c r="H46" s="1" t="s">
        <v>167</v>
      </c>
    </row>
    <row r="47" spans="1:8" ht="30" x14ac:dyDescent="0.25">
      <c r="A47" s="1" t="str">
        <f t="shared" ref="A47" si="27">IF(ISBLANK(G47),"",IF(G47&gt;0,"G","R")&amp;TEXT(ROW()-1,"00"))</f>
        <v>R46</v>
      </c>
      <c r="B47" s="1" t="str">
        <f t="shared" ref="B47" si="28">IF(LEN(A47)&gt;0,VLOOKUP(MID(A47,1,1),Abbreviations,2,FALSE),"")</f>
        <v>Risk</v>
      </c>
      <c r="C47" s="1" t="s">
        <v>99</v>
      </c>
      <c r="E47" s="1" t="s">
        <v>40</v>
      </c>
      <c r="F47" s="1" t="s">
        <v>78</v>
      </c>
      <c r="G47" s="13">
        <v>-2</v>
      </c>
      <c r="H47" s="1" t="s">
        <v>89</v>
      </c>
    </row>
    <row r="48" spans="1:8" ht="30" x14ac:dyDescent="0.25">
      <c r="A48" s="1" t="str">
        <f t="shared" si="20"/>
        <v>G47</v>
      </c>
      <c r="B48" s="1" t="str">
        <f t="shared" si="2"/>
        <v>Goal</v>
      </c>
      <c r="E48" s="1" t="s">
        <v>40</v>
      </c>
      <c r="F48" s="1" t="s">
        <v>7</v>
      </c>
      <c r="G48" s="13">
        <v>1</v>
      </c>
      <c r="H48" s="1" t="s">
        <v>90</v>
      </c>
    </row>
    <row r="49" spans="1:8" x14ac:dyDescent="0.25">
      <c r="A49" s="1" t="str">
        <f t="shared" si="20"/>
        <v>G48</v>
      </c>
      <c r="B49" s="1" t="str">
        <f t="shared" si="2"/>
        <v>Goal</v>
      </c>
      <c r="C49" s="1" t="s">
        <v>99</v>
      </c>
      <c r="E49" s="1" t="s">
        <v>40</v>
      </c>
      <c r="F49" s="1" t="s">
        <v>8</v>
      </c>
      <c r="G49" s="13">
        <v>1</v>
      </c>
      <c r="H49" s="1" t="s">
        <v>91</v>
      </c>
    </row>
    <row r="50" spans="1:8" ht="30" x14ac:dyDescent="0.25">
      <c r="A50" s="1" t="str">
        <f t="shared" si="20"/>
        <v>R49</v>
      </c>
      <c r="B50" s="1" t="str">
        <f t="shared" si="2"/>
        <v>Risk</v>
      </c>
      <c r="C50" s="1" t="s">
        <v>99</v>
      </c>
      <c r="E50" s="1" t="s">
        <v>40</v>
      </c>
      <c r="F50" s="1" t="s">
        <v>4</v>
      </c>
      <c r="G50" s="13">
        <v>-1</v>
      </c>
      <c r="H50" s="1" t="s">
        <v>103</v>
      </c>
    </row>
    <row r="51" spans="1:8" x14ac:dyDescent="0.25">
      <c r="A51" s="1" t="str">
        <f t="shared" si="20"/>
        <v>R50</v>
      </c>
      <c r="B51" s="1" t="str">
        <f t="shared" si="2"/>
        <v>Risk</v>
      </c>
      <c r="E51" s="1" t="s">
        <v>41</v>
      </c>
      <c r="F51" s="1" t="s">
        <v>78</v>
      </c>
      <c r="G51" s="13">
        <v>-2</v>
      </c>
      <c r="H51" s="1" t="s">
        <v>101</v>
      </c>
    </row>
    <row r="52" spans="1:8" x14ac:dyDescent="0.25">
      <c r="A52" s="1" t="str">
        <f t="shared" si="20"/>
        <v>G51</v>
      </c>
      <c r="B52" s="1" t="str">
        <f t="shared" si="2"/>
        <v>Goal</v>
      </c>
      <c r="E52" s="1" t="s">
        <v>41</v>
      </c>
      <c r="F52" s="1" t="s">
        <v>7</v>
      </c>
      <c r="G52" s="13">
        <v>2</v>
      </c>
      <c r="H52" s="1" t="s">
        <v>100</v>
      </c>
    </row>
    <row r="53" spans="1:8" ht="30" x14ac:dyDescent="0.25">
      <c r="A53" s="1" t="str">
        <f t="shared" si="20"/>
        <v>R52</v>
      </c>
      <c r="B53" s="1" t="str">
        <f t="shared" si="2"/>
        <v>Risk</v>
      </c>
      <c r="C53" s="1" t="s">
        <v>84</v>
      </c>
      <c r="E53" s="1" t="s">
        <v>41</v>
      </c>
      <c r="F53" s="1" t="s">
        <v>7</v>
      </c>
      <c r="G53" s="13">
        <v>-2</v>
      </c>
      <c r="H53" s="1" t="s">
        <v>108</v>
      </c>
    </row>
    <row r="54" spans="1:8" x14ac:dyDescent="0.25">
      <c r="A54" s="1" t="str">
        <f t="shared" si="20"/>
        <v>G53</v>
      </c>
      <c r="B54" s="1" t="str">
        <f t="shared" si="2"/>
        <v>Goal</v>
      </c>
      <c r="E54" s="1" t="s">
        <v>41</v>
      </c>
      <c r="F54" s="15" t="s">
        <v>8</v>
      </c>
      <c r="G54" s="13">
        <v>2</v>
      </c>
      <c r="H54" s="1" t="s">
        <v>252</v>
      </c>
    </row>
    <row r="55" spans="1:8" x14ac:dyDescent="0.25">
      <c r="A55" s="1" t="str">
        <f t="shared" si="20"/>
        <v>R54</v>
      </c>
      <c r="B55" s="1" t="str">
        <f t="shared" si="2"/>
        <v>Risk</v>
      </c>
      <c r="E55" s="1" t="s">
        <v>41</v>
      </c>
      <c r="F55" s="1" t="s">
        <v>4</v>
      </c>
      <c r="G55" s="13">
        <v>-2</v>
      </c>
      <c r="H55" s="1" t="s">
        <v>102</v>
      </c>
    </row>
    <row r="56" spans="1:8" ht="30" x14ac:dyDescent="0.25">
      <c r="A56" s="1" t="str">
        <f t="shared" ref="A56:A61" si="29">IF(ISBLANK(G56),"",IF(G56&gt;0,"G","R")&amp;TEXT(ROW()-1,"00"))</f>
        <v>R55</v>
      </c>
      <c r="B56" s="1" t="str">
        <f t="shared" ref="B56:B61" si="30">IF(LEN(A56)&gt;0,VLOOKUP(MID(A56,1,1),Abbreviations,2,FALSE),"")</f>
        <v>Risk</v>
      </c>
      <c r="C56" s="1" t="s">
        <v>84</v>
      </c>
      <c r="E56" s="1" t="s">
        <v>107</v>
      </c>
      <c r="F56" s="1" t="s">
        <v>78</v>
      </c>
      <c r="G56" s="13">
        <v>-2</v>
      </c>
      <c r="H56" s="1" t="s">
        <v>104</v>
      </c>
    </row>
    <row r="57" spans="1:8" ht="30" x14ac:dyDescent="0.25">
      <c r="A57" s="1" t="str">
        <f t="shared" ref="A57" si="31">IF(ISBLANK(G57),"",IF(G57&gt;0,"G","R")&amp;TEXT(ROW()-1,"00"))</f>
        <v>R56</v>
      </c>
      <c r="B57" s="1" t="str">
        <f t="shared" ref="B57:B60" si="32">IF(LEN(A57)&gt;0,VLOOKUP(MID(A57,1,1),Abbreviations,2,FALSE),"")</f>
        <v>Risk</v>
      </c>
      <c r="C57" s="1" t="s">
        <v>84</v>
      </c>
      <c r="E57" s="1" t="s">
        <v>107</v>
      </c>
      <c r="F57" s="1" t="s">
        <v>78</v>
      </c>
      <c r="G57" s="13">
        <v>-2</v>
      </c>
      <c r="H57" s="1" t="s">
        <v>105</v>
      </c>
    </row>
    <row r="58" spans="1:8" ht="30" x14ac:dyDescent="0.25">
      <c r="A58" s="1" t="str">
        <f t="shared" si="29"/>
        <v>G57</v>
      </c>
      <c r="B58" s="1" t="str">
        <f t="shared" si="32"/>
        <v>Goal</v>
      </c>
      <c r="C58" s="1" t="s">
        <v>84</v>
      </c>
      <c r="E58" s="1" t="s">
        <v>107</v>
      </c>
      <c r="F58" s="1" t="s">
        <v>7</v>
      </c>
      <c r="G58" s="13">
        <v>1</v>
      </c>
      <c r="H58" s="15" t="s">
        <v>114</v>
      </c>
    </row>
    <row r="59" spans="1:8" ht="30" x14ac:dyDescent="0.25">
      <c r="A59" s="1" t="str">
        <f t="shared" si="29"/>
        <v>R58</v>
      </c>
      <c r="B59" s="1" t="str">
        <f t="shared" si="32"/>
        <v>Risk</v>
      </c>
      <c r="C59" s="1" t="s">
        <v>84</v>
      </c>
      <c r="E59" s="1" t="s">
        <v>107</v>
      </c>
      <c r="F59" s="1" t="s">
        <v>7</v>
      </c>
      <c r="G59" s="13">
        <v>-1</v>
      </c>
      <c r="H59" s="15" t="s">
        <v>115</v>
      </c>
    </row>
    <row r="60" spans="1:8" ht="30" x14ac:dyDescent="0.25">
      <c r="A60" s="1" t="str">
        <f t="shared" si="29"/>
        <v>G59</v>
      </c>
      <c r="B60" s="1" t="str">
        <f t="shared" si="32"/>
        <v>Goal</v>
      </c>
      <c r="C60" s="1" t="s">
        <v>84</v>
      </c>
      <c r="E60" s="1" t="s">
        <v>107</v>
      </c>
      <c r="F60" s="1" t="s">
        <v>8</v>
      </c>
      <c r="G60" s="13">
        <v>2</v>
      </c>
      <c r="H60" s="1" t="s">
        <v>113</v>
      </c>
    </row>
    <row r="61" spans="1:8" ht="30" x14ac:dyDescent="0.25">
      <c r="A61" s="1" t="str">
        <f t="shared" si="29"/>
        <v>R60</v>
      </c>
      <c r="B61" s="1" t="str">
        <f t="shared" si="30"/>
        <v>Risk</v>
      </c>
      <c r="C61" s="1" t="s">
        <v>84</v>
      </c>
      <c r="E61" s="1" t="s">
        <v>107</v>
      </c>
      <c r="F61" s="1" t="s">
        <v>4</v>
      </c>
      <c r="G61" s="13">
        <v>-2</v>
      </c>
      <c r="H61" s="15" t="s">
        <v>109</v>
      </c>
    </row>
    <row r="62" spans="1:8" x14ac:dyDescent="0.25">
      <c r="A62" s="1" t="str">
        <f t="shared" si="20"/>
        <v>G61</v>
      </c>
      <c r="B62" s="1" t="str">
        <f t="shared" si="2"/>
        <v>Goal</v>
      </c>
      <c r="E62" s="1" t="s">
        <v>42</v>
      </c>
      <c r="F62" s="1" t="s">
        <v>1</v>
      </c>
      <c r="G62" s="13">
        <v>1</v>
      </c>
      <c r="H62" s="1" t="s">
        <v>110</v>
      </c>
    </row>
    <row r="63" spans="1:8" ht="30" x14ac:dyDescent="0.25">
      <c r="A63" s="1" t="str">
        <f t="shared" si="20"/>
        <v>G62</v>
      </c>
      <c r="B63" s="1" t="str">
        <f t="shared" si="2"/>
        <v>Goal</v>
      </c>
      <c r="E63" s="1" t="s">
        <v>42</v>
      </c>
      <c r="F63" s="1" t="s">
        <v>5</v>
      </c>
      <c r="G63" s="13">
        <v>1</v>
      </c>
      <c r="H63" s="1" t="s">
        <v>111</v>
      </c>
    </row>
    <row r="64" spans="1:8" x14ac:dyDescent="0.25">
      <c r="A64" s="1" t="str">
        <f t="shared" si="20"/>
        <v>R63</v>
      </c>
      <c r="B64" s="1" t="str">
        <f t="shared" si="2"/>
        <v>Risk</v>
      </c>
      <c r="E64" s="1" t="s">
        <v>42</v>
      </c>
      <c r="F64" s="1" t="s">
        <v>4</v>
      </c>
      <c r="G64" s="13">
        <v>-1</v>
      </c>
      <c r="H64" s="1" t="s">
        <v>112</v>
      </c>
    </row>
    <row r="65" spans="1:7" x14ac:dyDescent="0.25">
      <c r="A65" s="1" t="str">
        <f t="shared" si="20"/>
        <v/>
      </c>
      <c r="B65" s="1" t="str">
        <f t="shared" si="2"/>
        <v/>
      </c>
      <c r="G65" s="13"/>
    </row>
    <row r="66" spans="1:7" x14ac:dyDescent="0.25">
      <c r="A66" s="1" t="str">
        <f t="shared" si="5"/>
        <v/>
      </c>
      <c r="B66" s="1" t="str">
        <f t="shared" si="2"/>
        <v/>
      </c>
      <c r="G66" s="13"/>
    </row>
    <row r="67" spans="1:7" x14ac:dyDescent="0.25">
      <c r="A67" s="1" t="str">
        <f t="shared" si="5"/>
        <v/>
      </c>
      <c r="B67" s="1" t="str">
        <f t="shared" si="2"/>
        <v/>
      </c>
      <c r="G67" s="13"/>
    </row>
    <row r="68" spans="1:7" x14ac:dyDescent="0.25">
      <c r="A68" s="1" t="str">
        <f t="shared" si="5"/>
        <v/>
      </c>
      <c r="B68" s="1" t="str">
        <f t="shared" si="2"/>
        <v/>
      </c>
      <c r="G68" s="13"/>
    </row>
    <row r="69" spans="1:7" x14ac:dyDescent="0.25">
      <c r="A69" s="1" t="str">
        <f t="shared" si="5"/>
        <v/>
      </c>
      <c r="B69" s="1" t="str">
        <f t="shared" si="2"/>
        <v/>
      </c>
      <c r="G69" s="13"/>
    </row>
    <row r="70" spans="1:7" x14ac:dyDescent="0.25">
      <c r="A70" s="1" t="str">
        <f t="shared" si="5"/>
        <v/>
      </c>
      <c r="B70" s="1" t="str">
        <f t="shared" si="2"/>
        <v/>
      </c>
      <c r="G70" s="13"/>
    </row>
    <row r="71" spans="1:7" x14ac:dyDescent="0.25">
      <c r="A71" s="1" t="str">
        <f t="shared" si="5"/>
        <v/>
      </c>
      <c r="B71" s="1" t="str">
        <f t="shared" si="2"/>
        <v/>
      </c>
      <c r="G71" s="13"/>
    </row>
    <row r="72" spans="1:7" x14ac:dyDescent="0.25">
      <c r="A72" s="1" t="str">
        <f t="shared" si="5"/>
        <v/>
      </c>
      <c r="B72" s="1" t="str">
        <f t="shared" si="2"/>
        <v/>
      </c>
      <c r="G72" s="13"/>
    </row>
    <row r="73" spans="1:7" x14ac:dyDescent="0.25">
      <c r="A73" s="1" t="str">
        <f t="shared" si="5"/>
        <v/>
      </c>
      <c r="B73" s="1" t="str">
        <f t="shared" si="2"/>
        <v/>
      </c>
      <c r="G73" s="13"/>
    </row>
    <row r="74" spans="1:7" x14ac:dyDescent="0.25">
      <c r="A74" s="1" t="str">
        <f t="shared" si="5"/>
        <v/>
      </c>
      <c r="B74" s="1" t="str">
        <f t="shared" si="2"/>
        <v/>
      </c>
      <c r="G74" s="13"/>
    </row>
    <row r="75" spans="1:7" x14ac:dyDescent="0.25">
      <c r="A75" s="1" t="str">
        <f t="shared" si="5"/>
        <v/>
      </c>
      <c r="B75" s="1" t="str">
        <f t="shared" ref="B75:B106" si="33">IF(LEN(A75)&gt;0,VLOOKUP(MID(A75,1,1),Abbreviations,2,FALSE),"")</f>
        <v/>
      </c>
      <c r="G75" s="13"/>
    </row>
    <row r="76" spans="1:7" x14ac:dyDescent="0.25">
      <c r="A76" s="1" t="str">
        <f t="shared" si="5"/>
        <v/>
      </c>
      <c r="B76" s="1" t="str">
        <f t="shared" si="33"/>
        <v/>
      </c>
      <c r="G76" s="13"/>
    </row>
    <row r="77" spans="1:7" x14ac:dyDescent="0.25">
      <c r="A77" s="1" t="str">
        <f t="shared" si="5"/>
        <v/>
      </c>
      <c r="B77" s="1" t="str">
        <f t="shared" si="33"/>
        <v/>
      </c>
      <c r="G77" s="13"/>
    </row>
    <row r="78" spans="1:7" x14ac:dyDescent="0.25">
      <c r="A78" s="1" t="str">
        <f t="shared" si="5"/>
        <v/>
      </c>
      <c r="B78" s="1" t="str">
        <f t="shared" si="33"/>
        <v/>
      </c>
      <c r="G78" s="13"/>
    </row>
    <row r="79" spans="1:7" x14ac:dyDescent="0.25">
      <c r="A79" s="1" t="str">
        <f t="shared" si="5"/>
        <v/>
      </c>
      <c r="B79" s="1" t="str">
        <f t="shared" si="33"/>
        <v/>
      </c>
    </row>
    <row r="80" spans="1:7" x14ac:dyDescent="0.25">
      <c r="A80" s="1" t="str">
        <f t="shared" si="5"/>
        <v/>
      </c>
      <c r="B80" s="1" t="str">
        <f t="shared" si="33"/>
        <v/>
      </c>
    </row>
    <row r="81" spans="1:2" x14ac:dyDescent="0.25">
      <c r="A81" s="1" t="str">
        <f t="shared" si="5"/>
        <v/>
      </c>
      <c r="B81" s="1" t="str">
        <f t="shared" si="33"/>
        <v/>
      </c>
    </row>
    <row r="82" spans="1:2" x14ac:dyDescent="0.25">
      <c r="A82" s="1" t="str">
        <f t="shared" si="5"/>
        <v/>
      </c>
      <c r="B82" s="1" t="str">
        <f t="shared" si="33"/>
        <v/>
      </c>
    </row>
    <row r="83" spans="1:2" x14ac:dyDescent="0.25">
      <c r="A83" s="1" t="str">
        <f t="shared" si="5"/>
        <v/>
      </c>
      <c r="B83" s="1" t="str">
        <f t="shared" si="33"/>
        <v/>
      </c>
    </row>
    <row r="84" spans="1:2" x14ac:dyDescent="0.25">
      <c r="A84" s="1" t="str">
        <f t="shared" si="5"/>
        <v/>
      </c>
      <c r="B84" s="1" t="str">
        <f t="shared" si="33"/>
        <v/>
      </c>
    </row>
    <row r="85" spans="1:2" x14ac:dyDescent="0.25">
      <c r="A85" s="1" t="str">
        <f t="shared" si="5"/>
        <v/>
      </c>
      <c r="B85" s="1" t="str">
        <f t="shared" si="33"/>
        <v/>
      </c>
    </row>
    <row r="86" spans="1:2" x14ac:dyDescent="0.25">
      <c r="A86" s="1" t="str">
        <f t="shared" si="5"/>
        <v/>
      </c>
      <c r="B86" s="1" t="str">
        <f t="shared" si="33"/>
        <v/>
      </c>
    </row>
    <row r="87" spans="1:2" x14ac:dyDescent="0.25">
      <c r="A87" s="1" t="str">
        <f t="shared" si="5"/>
        <v/>
      </c>
      <c r="B87" s="1" t="str">
        <f t="shared" si="33"/>
        <v/>
      </c>
    </row>
    <row r="88" spans="1:2" x14ac:dyDescent="0.25">
      <c r="A88" s="1" t="str">
        <f t="shared" si="5"/>
        <v/>
      </c>
      <c r="B88" s="1" t="str">
        <f t="shared" si="33"/>
        <v/>
      </c>
    </row>
    <row r="89" spans="1:2" x14ac:dyDescent="0.25">
      <c r="A89" s="1" t="str">
        <f t="shared" si="5"/>
        <v/>
      </c>
      <c r="B89" s="1" t="str">
        <f t="shared" si="33"/>
        <v/>
      </c>
    </row>
    <row r="90" spans="1:2" x14ac:dyDescent="0.25">
      <c r="A90" s="1" t="str">
        <f t="shared" si="5"/>
        <v/>
      </c>
      <c r="B90" s="1" t="str">
        <f t="shared" si="33"/>
        <v/>
      </c>
    </row>
    <row r="91" spans="1:2" x14ac:dyDescent="0.25">
      <c r="A91" s="1" t="str">
        <f t="shared" si="5"/>
        <v/>
      </c>
      <c r="B91" s="1" t="str">
        <f t="shared" si="33"/>
        <v/>
      </c>
    </row>
    <row r="92" spans="1:2" x14ac:dyDescent="0.25">
      <c r="A92" s="1" t="str">
        <f t="shared" si="5"/>
        <v/>
      </c>
      <c r="B92" s="1" t="str">
        <f t="shared" si="33"/>
        <v/>
      </c>
    </row>
    <row r="93" spans="1:2" x14ac:dyDescent="0.25">
      <c r="A93" s="1" t="str">
        <f t="shared" si="5"/>
        <v/>
      </c>
      <c r="B93" s="1" t="str">
        <f t="shared" si="33"/>
        <v/>
      </c>
    </row>
    <row r="94" spans="1:2" x14ac:dyDescent="0.25">
      <c r="A94" s="1" t="str">
        <f t="shared" si="5"/>
        <v/>
      </c>
      <c r="B94" s="1" t="str">
        <f t="shared" si="33"/>
        <v/>
      </c>
    </row>
    <row r="95" spans="1:2" x14ac:dyDescent="0.25">
      <c r="A95" s="1" t="str">
        <f t="shared" si="5"/>
        <v/>
      </c>
      <c r="B95" s="1" t="str">
        <f t="shared" si="33"/>
        <v/>
      </c>
    </row>
    <row r="96" spans="1:2" x14ac:dyDescent="0.25">
      <c r="A96" s="1" t="str">
        <f t="shared" si="5"/>
        <v/>
      </c>
      <c r="B96" s="1" t="str">
        <f t="shared" si="33"/>
        <v/>
      </c>
    </row>
    <row r="97" spans="1:2" x14ac:dyDescent="0.25">
      <c r="A97" s="1" t="str">
        <f t="shared" si="5"/>
        <v/>
      </c>
      <c r="B97" s="1" t="str">
        <f t="shared" si="33"/>
        <v/>
      </c>
    </row>
    <row r="98" spans="1:2" x14ac:dyDescent="0.25">
      <c r="A98" s="1" t="str">
        <f t="shared" si="5"/>
        <v/>
      </c>
      <c r="B98" s="1" t="str">
        <f t="shared" si="33"/>
        <v/>
      </c>
    </row>
    <row r="99" spans="1:2" x14ac:dyDescent="0.25">
      <c r="A99" s="1" t="str">
        <f t="shared" si="5"/>
        <v/>
      </c>
      <c r="B99" s="1" t="str">
        <f t="shared" si="33"/>
        <v/>
      </c>
    </row>
    <row r="100" spans="1:2" x14ac:dyDescent="0.25">
      <c r="A100" s="1" t="str">
        <f t="shared" si="5"/>
        <v/>
      </c>
      <c r="B100" s="1" t="str">
        <f t="shared" si="33"/>
        <v/>
      </c>
    </row>
    <row r="101" spans="1:2" x14ac:dyDescent="0.25">
      <c r="A101" s="1" t="str">
        <f t="shared" si="5"/>
        <v/>
      </c>
      <c r="B101" s="1" t="str">
        <f t="shared" si="33"/>
        <v/>
      </c>
    </row>
    <row r="102" spans="1:2" x14ac:dyDescent="0.25">
      <c r="A102" s="1" t="str">
        <f t="shared" si="5"/>
        <v/>
      </c>
      <c r="B102" s="1" t="str">
        <f t="shared" si="33"/>
        <v/>
      </c>
    </row>
    <row r="103" spans="1:2" x14ac:dyDescent="0.25">
      <c r="A103" s="1" t="str">
        <f t="shared" si="5"/>
        <v/>
      </c>
      <c r="B103" s="1" t="str">
        <f t="shared" si="33"/>
        <v/>
      </c>
    </row>
    <row r="104" spans="1:2" x14ac:dyDescent="0.25">
      <c r="A104" s="1" t="str">
        <f t="shared" si="5"/>
        <v/>
      </c>
      <c r="B104" s="1" t="str">
        <f t="shared" si="33"/>
        <v/>
      </c>
    </row>
    <row r="105" spans="1:2" x14ac:dyDescent="0.25">
      <c r="A105" s="1" t="str">
        <f t="shared" si="5"/>
        <v/>
      </c>
      <c r="B105" s="1" t="str">
        <f t="shared" si="33"/>
        <v/>
      </c>
    </row>
    <row r="106" spans="1:2" x14ac:dyDescent="0.25">
      <c r="A106" s="1" t="str">
        <f t="shared" si="5"/>
        <v/>
      </c>
      <c r="B106" s="1" t="str">
        <f t="shared" si="33"/>
        <v/>
      </c>
    </row>
    <row r="107" spans="1:2" x14ac:dyDescent="0.25">
      <c r="A107" s="1" t="str">
        <f t="shared" ref="A107:A159" si="34">IF(ISBLANK(G107),"",IF(G107&gt;0,"G","R")&amp;TEXT(ROW()-1,"00"))</f>
        <v/>
      </c>
      <c r="B107" s="1" t="str">
        <f t="shared" ref="B107:B138" si="35">IF(LEN(A107)&gt;0,VLOOKUP(MID(A107,1,1),Abbreviations,2,FALSE),"")</f>
        <v/>
      </c>
    </row>
    <row r="108" spans="1:2" x14ac:dyDescent="0.25">
      <c r="A108" s="1" t="str">
        <f t="shared" si="34"/>
        <v/>
      </c>
      <c r="B108" s="1" t="str">
        <f t="shared" si="35"/>
        <v/>
      </c>
    </row>
    <row r="109" spans="1:2" x14ac:dyDescent="0.25">
      <c r="A109" s="1" t="str">
        <f t="shared" si="34"/>
        <v/>
      </c>
      <c r="B109" s="1" t="str">
        <f t="shared" si="35"/>
        <v/>
      </c>
    </row>
    <row r="110" spans="1:2" x14ac:dyDescent="0.25">
      <c r="A110" s="1" t="str">
        <f t="shared" si="34"/>
        <v/>
      </c>
      <c r="B110" s="1" t="str">
        <f t="shared" si="35"/>
        <v/>
      </c>
    </row>
    <row r="111" spans="1:2" x14ac:dyDescent="0.25">
      <c r="A111" s="1" t="str">
        <f t="shared" si="34"/>
        <v/>
      </c>
      <c r="B111" s="1" t="str">
        <f t="shared" si="35"/>
        <v/>
      </c>
    </row>
    <row r="112" spans="1:2" x14ac:dyDescent="0.25">
      <c r="A112" s="1" t="str">
        <f t="shared" si="34"/>
        <v/>
      </c>
      <c r="B112" s="1" t="str">
        <f t="shared" si="35"/>
        <v/>
      </c>
    </row>
    <row r="113" spans="1:2" x14ac:dyDescent="0.25">
      <c r="A113" s="1" t="str">
        <f t="shared" si="34"/>
        <v/>
      </c>
      <c r="B113" s="1" t="str">
        <f t="shared" si="35"/>
        <v/>
      </c>
    </row>
    <row r="114" spans="1:2" x14ac:dyDescent="0.25">
      <c r="A114" s="1" t="str">
        <f t="shared" si="34"/>
        <v/>
      </c>
      <c r="B114" s="1" t="str">
        <f t="shared" si="35"/>
        <v/>
      </c>
    </row>
    <row r="115" spans="1:2" x14ac:dyDescent="0.25">
      <c r="A115" s="1" t="str">
        <f t="shared" si="34"/>
        <v/>
      </c>
      <c r="B115" s="1" t="str">
        <f t="shared" si="35"/>
        <v/>
      </c>
    </row>
    <row r="116" spans="1:2" x14ac:dyDescent="0.25">
      <c r="A116" s="1" t="str">
        <f t="shared" si="34"/>
        <v/>
      </c>
      <c r="B116" s="1" t="str">
        <f t="shared" si="35"/>
        <v/>
      </c>
    </row>
    <row r="117" spans="1:2" x14ac:dyDescent="0.25">
      <c r="A117" s="1" t="str">
        <f t="shared" si="34"/>
        <v/>
      </c>
      <c r="B117" s="1" t="str">
        <f t="shared" si="35"/>
        <v/>
      </c>
    </row>
    <row r="118" spans="1:2" x14ac:dyDescent="0.25">
      <c r="A118" s="1" t="str">
        <f t="shared" si="34"/>
        <v/>
      </c>
      <c r="B118" s="1" t="str">
        <f t="shared" si="35"/>
        <v/>
      </c>
    </row>
    <row r="119" spans="1:2" x14ac:dyDescent="0.25">
      <c r="A119" s="1" t="str">
        <f t="shared" si="34"/>
        <v/>
      </c>
      <c r="B119" s="1" t="str">
        <f t="shared" si="35"/>
        <v/>
      </c>
    </row>
    <row r="120" spans="1:2" x14ac:dyDescent="0.25">
      <c r="A120" s="1" t="str">
        <f t="shared" si="34"/>
        <v/>
      </c>
      <c r="B120" s="1" t="str">
        <f t="shared" si="35"/>
        <v/>
      </c>
    </row>
    <row r="121" spans="1:2" x14ac:dyDescent="0.25">
      <c r="A121" s="1" t="str">
        <f t="shared" si="34"/>
        <v/>
      </c>
      <c r="B121" s="1" t="str">
        <f t="shared" si="35"/>
        <v/>
      </c>
    </row>
    <row r="122" spans="1:2" x14ac:dyDescent="0.25">
      <c r="A122" s="1" t="str">
        <f t="shared" si="34"/>
        <v/>
      </c>
      <c r="B122" s="1" t="str">
        <f t="shared" si="35"/>
        <v/>
      </c>
    </row>
    <row r="123" spans="1:2" x14ac:dyDescent="0.25">
      <c r="A123" s="1" t="str">
        <f t="shared" si="34"/>
        <v/>
      </c>
      <c r="B123" s="1" t="str">
        <f t="shared" si="35"/>
        <v/>
      </c>
    </row>
    <row r="124" spans="1:2" x14ac:dyDescent="0.25">
      <c r="A124" s="1" t="str">
        <f t="shared" si="34"/>
        <v/>
      </c>
      <c r="B124" s="1" t="str">
        <f t="shared" si="35"/>
        <v/>
      </c>
    </row>
    <row r="125" spans="1:2" x14ac:dyDescent="0.25">
      <c r="A125" s="1" t="str">
        <f t="shared" si="34"/>
        <v/>
      </c>
      <c r="B125" s="1" t="str">
        <f t="shared" si="35"/>
        <v/>
      </c>
    </row>
    <row r="126" spans="1:2" x14ac:dyDescent="0.25">
      <c r="A126" s="1" t="str">
        <f t="shared" si="34"/>
        <v/>
      </c>
      <c r="B126" s="1" t="str">
        <f t="shared" si="35"/>
        <v/>
      </c>
    </row>
    <row r="127" spans="1:2" x14ac:dyDescent="0.25">
      <c r="A127" s="1" t="str">
        <f t="shared" si="34"/>
        <v/>
      </c>
      <c r="B127" s="1" t="str">
        <f t="shared" si="35"/>
        <v/>
      </c>
    </row>
    <row r="128" spans="1:2" x14ac:dyDescent="0.25">
      <c r="A128" s="1" t="str">
        <f t="shared" si="34"/>
        <v/>
      </c>
      <c r="B128" s="1" t="str">
        <f t="shared" si="35"/>
        <v/>
      </c>
    </row>
    <row r="129" spans="1:2" x14ac:dyDescent="0.25">
      <c r="A129" s="1" t="str">
        <f t="shared" si="34"/>
        <v/>
      </c>
      <c r="B129" s="1" t="str">
        <f t="shared" si="35"/>
        <v/>
      </c>
    </row>
    <row r="130" spans="1:2" x14ac:dyDescent="0.25">
      <c r="A130" s="1" t="str">
        <f t="shared" si="34"/>
        <v/>
      </c>
      <c r="B130" s="1" t="str">
        <f t="shared" si="35"/>
        <v/>
      </c>
    </row>
    <row r="131" spans="1:2" x14ac:dyDescent="0.25">
      <c r="A131" s="1" t="str">
        <f t="shared" si="34"/>
        <v/>
      </c>
      <c r="B131" s="1" t="str">
        <f t="shared" si="35"/>
        <v/>
      </c>
    </row>
    <row r="132" spans="1:2" x14ac:dyDescent="0.25">
      <c r="A132" s="1" t="str">
        <f t="shared" si="34"/>
        <v/>
      </c>
      <c r="B132" s="1" t="str">
        <f t="shared" si="35"/>
        <v/>
      </c>
    </row>
    <row r="133" spans="1:2" x14ac:dyDescent="0.25">
      <c r="A133" s="1" t="str">
        <f t="shared" si="34"/>
        <v/>
      </c>
      <c r="B133" s="1" t="str">
        <f t="shared" si="35"/>
        <v/>
      </c>
    </row>
    <row r="134" spans="1:2" x14ac:dyDescent="0.25">
      <c r="A134" s="1" t="str">
        <f t="shared" si="34"/>
        <v/>
      </c>
      <c r="B134" s="1" t="str">
        <f t="shared" si="35"/>
        <v/>
      </c>
    </row>
    <row r="135" spans="1:2" x14ac:dyDescent="0.25">
      <c r="A135" s="1" t="str">
        <f t="shared" si="34"/>
        <v/>
      </c>
      <c r="B135" s="1" t="str">
        <f t="shared" si="35"/>
        <v/>
      </c>
    </row>
    <row r="136" spans="1:2" x14ac:dyDescent="0.25">
      <c r="A136" s="1" t="str">
        <f t="shared" si="34"/>
        <v/>
      </c>
      <c r="B136" s="1" t="str">
        <f t="shared" si="35"/>
        <v/>
      </c>
    </row>
    <row r="137" spans="1:2" x14ac:dyDescent="0.25">
      <c r="A137" s="1" t="str">
        <f t="shared" si="34"/>
        <v/>
      </c>
      <c r="B137" s="1" t="str">
        <f t="shared" si="35"/>
        <v/>
      </c>
    </row>
    <row r="138" spans="1:2" x14ac:dyDescent="0.25">
      <c r="A138" s="1" t="str">
        <f t="shared" si="34"/>
        <v/>
      </c>
      <c r="B138" s="1" t="str">
        <f t="shared" si="35"/>
        <v/>
      </c>
    </row>
    <row r="139" spans="1:2" x14ac:dyDescent="0.25">
      <c r="A139" s="1" t="str">
        <f t="shared" si="34"/>
        <v/>
      </c>
      <c r="B139" s="1" t="str">
        <f t="shared" ref="B139:B159" si="36">IF(LEN(A139)&gt;0,VLOOKUP(MID(A139,1,1),Abbreviations,2,FALSE),"")</f>
        <v/>
      </c>
    </row>
    <row r="140" spans="1:2" x14ac:dyDescent="0.25">
      <c r="A140" s="1" t="str">
        <f t="shared" si="34"/>
        <v/>
      </c>
      <c r="B140" s="1" t="str">
        <f t="shared" si="36"/>
        <v/>
      </c>
    </row>
    <row r="141" spans="1:2" x14ac:dyDescent="0.25">
      <c r="A141" s="1" t="str">
        <f t="shared" si="34"/>
        <v/>
      </c>
      <c r="B141" s="1" t="str">
        <f t="shared" si="36"/>
        <v/>
      </c>
    </row>
    <row r="142" spans="1:2" x14ac:dyDescent="0.25">
      <c r="A142" s="1" t="str">
        <f t="shared" si="34"/>
        <v/>
      </c>
      <c r="B142" s="1" t="str">
        <f t="shared" si="36"/>
        <v/>
      </c>
    </row>
    <row r="143" spans="1:2" x14ac:dyDescent="0.25">
      <c r="A143" s="1" t="str">
        <f t="shared" si="34"/>
        <v/>
      </c>
      <c r="B143" s="1" t="str">
        <f t="shared" si="36"/>
        <v/>
      </c>
    </row>
    <row r="144" spans="1:2" x14ac:dyDescent="0.25">
      <c r="A144" s="1" t="str">
        <f t="shared" si="34"/>
        <v/>
      </c>
      <c r="B144" s="1" t="str">
        <f t="shared" si="36"/>
        <v/>
      </c>
    </row>
    <row r="145" spans="1:2" x14ac:dyDescent="0.25">
      <c r="A145" s="1" t="str">
        <f t="shared" si="34"/>
        <v/>
      </c>
      <c r="B145" s="1" t="str">
        <f t="shared" si="36"/>
        <v/>
      </c>
    </row>
    <row r="146" spans="1:2" x14ac:dyDescent="0.25">
      <c r="A146" s="1" t="str">
        <f t="shared" si="34"/>
        <v/>
      </c>
      <c r="B146" s="1" t="str">
        <f t="shared" si="36"/>
        <v/>
      </c>
    </row>
    <row r="147" spans="1:2" x14ac:dyDescent="0.25">
      <c r="A147" s="1" t="str">
        <f t="shared" si="34"/>
        <v/>
      </c>
      <c r="B147" s="1" t="str">
        <f t="shared" si="36"/>
        <v/>
      </c>
    </row>
    <row r="148" spans="1:2" x14ac:dyDescent="0.25">
      <c r="A148" s="1" t="str">
        <f t="shared" si="34"/>
        <v/>
      </c>
      <c r="B148" s="1" t="str">
        <f t="shared" si="36"/>
        <v/>
      </c>
    </row>
    <row r="149" spans="1:2" x14ac:dyDescent="0.25">
      <c r="A149" s="1" t="str">
        <f t="shared" si="34"/>
        <v/>
      </c>
      <c r="B149" s="1" t="str">
        <f t="shared" si="36"/>
        <v/>
      </c>
    </row>
    <row r="150" spans="1:2" x14ac:dyDescent="0.25">
      <c r="A150" s="1" t="str">
        <f t="shared" si="34"/>
        <v/>
      </c>
      <c r="B150" s="1" t="str">
        <f t="shared" si="36"/>
        <v/>
      </c>
    </row>
    <row r="151" spans="1:2" x14ac:dyDescent="0.25">
      <c r="A151" s="1" t="str">
        <f t="shared" si="34"/>
        <v/>
      </c>
      <c r="B151" s="1" t="str">
        <f t="shared" si="36"/>
        <v/>
      </c>
    </row>
    <row r="152" spans="1:2" x14ac:dyDescent="0.25">
      <c r="A152" s="1" t="str">
        <f t="shared" si="34"/>
        <v/>
      </c>
      <c r="B152" s="1" t="str">
        <f t="shared" si="36"/>
        <v/>
      </c>
    </row>
    <row r="153" spans="1:2" x14ac:dyDescent="0.25">
      <c r="A153" s="1" t="str">
        <f t="shared" si="34"/>
        <v/>
      </c>
      <c r="B153" s="1" t="str">
        <f t="shared" si="36"/>
        <v/>
      </c>
    </row>
    <row r="154" spans="1:2" x14ac:dyDescent="0.25">
      <c r="A154" s="1" t="str">
        <f t="shared" si="34"/>
        <v/>
      </c>
      <c r="B154" s="1" t="str">
        <f t="shared" si="36"/>
        <v/>
      </c>
    </row>
    <row r="155" spans="1:2" x14ac:dyDescent="0.25">
      <c r="A155" s="1" t="str">
        <f t="shared" si="34"/>
        <v/>
      </c>
      <c r="B155" s="1" t="str">
        <f t="shared" si="36"/>
        <v/>
      </c>
    </row>
    <row r="156" spans="1:2" x14ac:dyDescent="0.25">
      <c r="A156" s="1" t="str">
        <f t="shared" si="34"/>
        <v/>
      </c>
      <c r="B156" s="1" t="str">
        <f t="shared" si="36"/>
        <v/>
      </c>
    </row>
    <row r="157" spans="1:2" x14ac:dyDescent="0.25">
      <c r="A157" s="1" t="str">
        <f t="shared" si="34"/>
        <v/>
      </c>
      <c r="B157" s="1" t="str">
        <f t="shared" si="36"/>
        <v/>
      </c>
    </row>
    <row r="158" spans="1:2" x14ac:dyDescent="0.25">
      <c r="A158" s="1" t="str">
        <f t="shared" si="34"/>
        <v/>
      </c>
      <c r="B158" s="1" t="str">
        <f t="shared" si="36"/>
        <v/>
      </c>
    </row>
    <row r="159" spans="1:2" x14ac:dyDescent="0.25">
      <c r="A159" s="1" t="str">
        <f t="shared" si="34"/>
        <v/>
      </c>
      <c r="B159" s="1" t="str">
        <f t="shared" si="36"/>
        <v/>
      </c>
    </row>
  </sheetData>
  <sheetProtection sheet="1" objects="1" scenarios="1" formatColumns="0" formatRows="0"/>
  <autoFilter ref="A1:H159" xr:uid="{00000000-0009-0000-0000-000001000000}"/>
  <conditionalFormatting sqref="G54:G140 G5:G52">
    <cfRule type="colorScale" priority="5">
      <colorScale>
        <cfvo type="num" val="-2"/>
        <cfvo type="num" val="0"/>
        <cfvo type="num" val="2"/>
        <color rgb="FFF8696B"/>
        <color rgb="FFFCFCFF"/>
        <color rgb="FF63BE7B"/>
      </colorScale>
    </cfRule>
  </conditionalFormatting>
  <conditionalFormatting sqref="G2:G3">
    <cfRule type="colorScale" priority="3">
      <colorScale>
        <cfvo type="num" val="-2"/>
        <cfvo type="num" val="0"/>
        <cfvo type="num" val="2"/>
        <color rgb="FFF8696B"/>
        <color rgb="FFFCFCFF"/>
        <color rgb="FF63BE7B"/>
      </colorScale>
    </cfRule>
  </conditionalFormatting>
  <conditionalFormatting sqref="G53">
    <cfRule type="colorScale" priority="2">
      <colorScale>
        <cfvo type="num" val="-2"/>
        <cfvo type="num" val="0"/>
        <cfvo type="num" val="2"/>
        <color rgb="FFF8696B"/>
        <color rgb="FFFCFCFF"/>
        <color rgb="FF63BE7B"/>
      </colorScale>
    </cfRule>
  </conditionalFormatting>
  <conditionalFormatting sqref="G4">
    <cfRule type="colorScale" priority="1">
      <colorScale>
        <cfvo type="num" val="-2"/>
        <cfvo type="num" val="0"/>
        <cfvo type="num" val="2"/>
        <color rgb="FFF8696B"/>
        <color rgb="FFFCFCFF"/>
        <color rgb="FF63BE7B"/>
      </colorScale>
    </cfRule>
  </conditionalFormatting>
  <dataValidations count="4">
    <dataValidation type="list" allowBlank="1" showInputMessage="1" showErrorMessage="1" error="Bitte gültigen Typ eingeben!" sqref="F5:F6" xr:uid="{00000000-0002-0000-0100-000000000000}">
      <formula1>Dimensions</formula1>
    </dataValidation>
    <dataValidation type="list" allowBlank="1" showInputMessage="1" showErrorMessage="1" sqref="F2:F4 F7:F158" xr:uid="{00000000-0002-0000-0100-000001000000}">
      <formula1>Dimensions</formula1>
    </dataValidation>
    <dataValidation type="list" allowBlank="1" showInputMessage="1" showErrorMessage="1" sqref="C2:D13 C17:D158" xr:uid="{00000000-0002-0000-0100-000002000000}">
      <formula1>Scenarios</formula1>
    </dataValidation>
    <dataValidation type="list" allowBlank="1" showInputMessage="1" showErrorMessage="1" sqref="E2:E160" xr:uid="{00000000-0002-0000-0100-000003000000}">
      <formula1>Stakeholders</formula1>
    </dataValidation>
  </dataValidations>
  <pageMargins left="0.7" right="0.7" top="0.78740157499999996" bottom="0.78740157499999996" header="0.3" footer="0.3"/>
  <pageSetup paperSize="9" orientation="portrait" horizontalDpi="4294967293" verticalDpi="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9"/>
  <dimension ref="A1:KN1000"/>
  <sheetViews>
    <sheetView topLeftCell="A4" zoomScale="145" zoomScaleNormal="145" workbookViewId="0">
      <selection activeCell="G8" sqref="G8"/>
    </sheetView>
  </sheetViews>
  <sheetFormatPr baseColWidth="10" defaultColWidth="11.5703125" defaultRowHeight="15" x14ac:dyDescent="0.25"/>
  <cols>
    <col min="1" max="1" width="6.5703125" style="10" customWidth="1"/>
    <col min="2" max="2" width="55.7109375" style="1" customWidth="1"/>
    <col min="3" max="3" width="9.85546875" style="1" customWidth="1"/>
    <col min="4" max="4" width="4.85546875" style="1" customWidth="1"/>
    <col min="5" max="40" width="4.7109375" style="1" customWidth="1"/>
    <col min="41" max="64" width="4.85546875" style="1" customWidth="1"/>
    <col min="65" max="78" width="5.42578125" style="1" customWidth="1"/>
    <col min="79" max="16384" width="11.5703125" style="1"/>
  </cols>
  <sheetData>
    <row r="1" spans="1:300" s="59" customFormat="1" ht="7.15" customHeight="1" x14ac:dyDescent="0.25">
      <c r="A1" s="58"/>
    </row>
    <row r="2" spans="1:300" s="21" customFormat="1" ht="9.6" customHeight="1" thickBot="1" x14ac:dyDescent="0.3">
      <c r="A2" s="61"/>
      <c r="B2" s="23"/>
      <c r="C2" s="23"/>
      <c r="D2" s="23"/>
      <c r="E2" s="23"/>
      <c r="F2" s="23"/>
      <c r="G2" s="23"/>
      <c r="H2" s="23"/>
      <c r="I2" s="23"/>
      <c r="J2" s="23"/>
      <c r="K2" s="23"/>
      <c r="L2" s="23"/>
      <c r="M2" s="23"/>
      <c r="N2" s="23"/>
      <c r="O2" s="23"/>
      <c r="P2" s="23"/>
      <c r="Q2" s="23"/>
      <c r="R2" s="23"/>
      <c r="S2" s="60"/>
      <c r="T2" s="60"/>
      <c r="U2" s="60"/>
      <c r="V2" s="60"/>
      <c r="W2" s="60"/>
      <c r="X2" s="60"/>
      <c r="Y2" s="60"/>
      <c r="Z2" s="60"/>
      <c r="AA2" s="60"/>
      <c r="AB2" s="60"/>
      <c r="AC2" s="60"/>
      <c r="AD2" s="60"/>
      <c r="AE2" s="60"/>
      <c r="AF2" s="60"/>
      <c r="AG2" s="60"/>
      <c r="AH2" s="60"/>
      <c r="AI2" s="60"/>
      <c r="AJ2" s="60"/>
      <c r="AK2" s="60"/>
      <c r="AL2" s="60"/>
      <c r="AM2" s="60"/>
      <c r="AN2" s="60"/>
      <c r="AO2" s="60"/>
      <c r="AP2" s="60"/>
      <c r="AQ2" s="60"/>
      <c r="AR2" s="60"/>
      <c r="AS2" s="60"/>
      <c r="AT2" s="60"/>
      <c r="AU2" s="60"/>
      <c r="AV2" s="60"/>
      <c r="AW2" s="60"/>
      <c r="AX2" s="60"/>
      <c r="AY2" s="60"/>
      <c r="AZ2" s="60"/>
      <c r="BA2" s="60"/>
      <c r="BB2" s="60"/>
    </row>
    <row r="3" spans="1:300" s="21" customFormat="1" ht="15.75" thickBot="1" x14ac:dyDescent="0.3">
      <c r="A3" s="62">
        <v>6</v>
      </c>
      <c r="B3" s="23"/>
      <c r="C3" s="24" t="s">
        <v>122</v>
      </c>
      <c r="D3" s="23"/>
      <c r="E3" s="72" t="s">
        <v>41</v>
      </c>
      <c r="F3" s="73"/>
      <c r="G3" s="73"/>
      <c r="H3" s="73"/>
      <c r="I3" s="74"/>
      <c r="J3" s="23"/>
      <c r="K3" s="24" t="s">
        <v>123</v>
      </c>
      <c r="L3" s="23"/>
      <c r="M3" s="23"/>
      <c r="N3" s="72"/>
      <c r="O3" s="73"/>
      <c r="P3" s="73"/>
      <c r="Q3" s="74"/>
      <c r="R3" s="23"/>
      <c r="S3" s="60"/>
      <c r="T3" s="60"/>
      <c r="U3" s="60"/>
      <c r="V3" s="60"/>
      <c r="W3" s="60"/>
      <c r="X3" s="60"/>
      <c r="Y3" s="60"/>
      <c r="Z3" s="60"/>
      <c r="AA3" s="60"/>
      <c r="AB3" s="60"/>
      <c r="AC3" s="60"/>
      <c r="AD3" s="60"/>
      <c r="AE3" s="60"/>
      <c r="AF3" s="60"/>
      <c r="AG3" s="60"/>
      <c r="AH3" s="60"/>
      <c r="AI3" s="60"/>
      <c r="AJ3" s="60"/>
      <c r="AK3" s="60"/>
      <c r="AL3" s="60"/>
      <c r="AM3" s="60"/>
      <c r="AN3" s="60"/>
      <c r="AO3" s="60"/>
      <c r="AP3" s="60"/>
      <c r="AQ3" s="60"/>
      <c r="AR3" s="60"/>
      <c r="AS3" s="60"/>
      <c r="AT3" s="60"/>
      <c r="AU3" s="60"/>
      <c r="AV3" s="60"/>
      <c r="AW3" s="60"/>
      <c r="AX3" s="60"/>
      <c r="AY3" s="60"/>
      <c r="AZ3" s="60"/>
      <c r="BA3" s="60"/>
      <c r="BB3" s="60"/>
    </row>
    <row r="4" spans="1:300" s="21" customFormat="1" ht="8.4499999999999993" customHeight="1" x14ac:dyDescent="0.25">
      <c r="A4" s="61"/>
      <c r="B4" s="23"/>
      <c r="C4" s="24"/>
      <c r="D4" s="23"/>
      <c r="E4" s="25"/>
      <c r="F4" s="25"/>
      <c r="G4" s="25"/>
      <c r="H4" s="25"/>
      <c r="I4" s="25"/>
      <c r="J4" s="25"/>
      <c r="K4" s="25"/>
      <c r="L4" s="25"/>
      <c r="M4" s="25"/>
      <c r="N4" s="25"/>
      <c r="O4" s="25"/>
      <c r="P4" s="25"/>
      <c r="Q4" s="25"/>
      <c r="R4" s="25"/>
      <c r="S4" s="60"/>
      <c r="T4" s="60"/>
      <c r="U4" s="60"/>
      <c r="V4" s="60"/>
      <c r="W4" s="60"/>
      <c r="X4" s="60"/>
      <c r="Y4" s="60"/>
      <c r="Z4" s="60"/>
      <c r="AA4" s="60"/>
      <c r="AB4" s="60"/>
      <c r="AC4" s="60"/>
      <c r="AD4" s="60"/>
      <c r="AE4" s="60"/>
      <c r="AF4" s="60"/>
      <c r="AG4" s="60"/>
      <c r="AH4" s="60"/>
      <c r="AI4" s="60"/>
      <c r="AJ4" s="60"/>
      <c r="AK4" s="60"/>
      <c r="AL4" s="60"/>
      <c r="AM4" s="60"/>
      <c r="AN4" s="60"/>
      <c r="AO4" s="60"/>
      <c r="AP4" s="60"/>
      <c r="AQ4" s="60"/>
      <c r="AR4" s="60"/>
      <c r="AS4" s="60"/>
      <c r="AT4" s="60"/>
      <c r="AU4" s="60"/>
      <c r="AV4" s="60"/>
      <c r="AW4" s="60"/>
      <c r="AX4" s="60"/>
      <c r="AY4" s="60"/>
      <c r="AZ4" s="60"/>
      <c r="BA4" s="60"/>
      <c r="BB4" s="60"/>
    </row>
    <row r="5" spans="1:300" s="60" customFormat="1" ht="15" customHeight="1" x14ac:dyDescent="0.25">
      <c r="A5" s="61"/>
      <c r="D5" s="63">
        <v>1</v>
      </c>
      <c r="E5" s="63">
        <f>D5+1</f>
        <v>2</v>
      </c>
      <c r="F5" s="63">
        <f t="shared" ref="F5:AB5" si="0">E5+1</f>
        <v>3</v>
      </c>
      <c r="G5" s="63">
        <f t="shared" si="0"/>
        <v>4</v>
      </c>
      <c r="H5" s="63">
        <f t="shared" si="0"/>
        <v>5</v>
      </c>
      <c r="I5" s="63">
        <f t="shared" si="0"/>
        <v>6</v>
      </c>
      <c r="J5" s="63">
        <f t="shared" si="0"/>
        <v>7</v>
      </c>
      <c r="K5" s="63">
        <f t="shared" si="0"/>
        <v>8</v>
      </c>
      <c r="L5" s="63">
        <f t="shared" si="0"/>
        <v>9</v>
      </c>
      <c r="M5" s="63">
        <f t="shared" si="0"/>
        <v>10</v>
      </c>
      <c r="N5" s="63">
        <f t="shared" si="0"/>
        <v>11</v>
      </c>
      <c r="O5" s="63">
        <f t="shared" si="0"/>
        <v>12</v>
      </c>
      <c r="P5" s="63">
        <f t="shared" si="0"/>
        <v>13</v>
      </c>
      <c r="Q5" s="63">
        <f t="shared" si="0"/>
        <v>14</v>
      </c>
      <c r="R5" s="63">
        <f t="shared" si="0"/>
        <v>15</v>
      </c>
      <c r="S5" s="63">
        <f t="shared" si="0"/>
        <v>16</v>
      </c>
      <c r="T5" s="63">
        <f t="shared" si="0"/>
        <v>17</v>
      </c>
      <c r="U5" s="63">
        <f t="shared" si="0"/>
        <v>18</v>
      </c>
      <c r="V5" s="63">
        <f t="shared" si="0"/>
        <v>19</v>
      </c>
      <c r="W5" s="63">
        <f t="shared" si="0"/>
        <v>20</v>
      </c>
      <c r="X5" s="63">
        <f t="shared" si="0"/>
        <v>21</v>
      </c>
      <c r="Y5" s="63">
        <f t="shared" si="0"/>
        <v>22</v>
      </c>
      <c r="Z5" s="63">
        <f t="shared" si="0"/>
        <v>23</v>
      </c>
      <c r="AA5" s="63">
        <f t="shared" si="0"/>
        <v>24</v>
      </c>
      <c r="AB5" s="63">
        <f t="shared" si="0"/>
        <v>25</v>
      </c>
    </row>
    <row r="6" spans="1:300" ht="22.9" customHeight="1" thickBot="1" x14ac:dyDescent="0.3">
      <c r="A6" s="22" t="s">
        <v>30</v>
      </c>
      <c r="B6" s="2" t="s">
        <v>116</v>
      </c>
      <c r="C6" s="2" t="s">
        <v>15</v>
      </c>
      <c r="D6" s="84" t="s">
        <v>258</v>
      </c>
      <c r="E6" s="83" t="s">
        <v>259</v>
      </c>
      <c r="F6" s="65" t="s">
        <v>260</v>
      </c>
      <c r="G6" s="64" t="s">
        <v>261</v>
      </c>
      <c r="H6" s="29" t="s">
        <v>262</v>
      </c>
      <c r="I6"/>
      <c r="J6"/>
      <c r="K6"/>
      <c r="L6"/>
      <c r="M6"/>
      <c r="N6"/>
      <c r="O6"/>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s="27"/>
      <c r="CB6" s="27"/>
      <c r="CC6" s="27"/>
      <c r="CD6" s="27"/>
      <c r="CE6" s="27"/>
      <c r="CF6" s="27"/>
      <c r="CG6" s="27"/>
      <c r="CH6" s="27"/>
      <c r="CI6" s="27"/>
      <c r="CJ6" s="27"/>
      <c r="CK6" s="27"/>
      <c r="CL6" s="27"/>
      <c r="CM6" s="27"/>
      <c r="CN6" s="27"/>
      <c r="CO6" s="27"/>
      <c r="CP6" s="27"/>
      <c r="CQ6" s="27"/>
      <c r="CR6" s="27"/>
      <c r="CS6" s="27"/>
      <c r="CT6" s="27"/>
      <c r="CU6" s="27"/>
      <c r="CV6" s="27"/>
      <c r="CW6" s="27"/>
      <c r="CX6" s="27"/>
      <c r="CY6" s="15"/>
      <c r="CZ6" s="15"/>
      <c r="DA6" s="15"/>
      <c r="DB6" s="15"/>
      <c r="DC6" s="15"/>
      <c r="DD6" s="15"/>
      <c r="DE6" s="15"/>
      <c r="DF6" s="15"/>
      <c r="DG6" s="15"/>
      <c r="DH6" s="15"/>
      <c r="DI6" s="15"/>
      <c r="DJ6" s="15"/>
      <c r="DK6" s="15"/>
      <c r="DL6" s="15"/>
      <c r="DM6" s="15"/>
      <c r="DN6" s="15"/>
      <c r="DO6" s="15"/>
      <c r="DP6" s="15"/>
      <c r="DQ6" s="15"/>
      <c r="DR6" s="15"/>
      <c r="DS6" s="15"/>
      <c r="DT6" s="15"/>
      <c r="DU6" s="15"/>
      <c r="DV6" s="15"/>
      <c r="DW6" s="15"/>
      <c r="DX6" s="15"/>
      <c r="DY6" s="15"/>
      <c r="DZ6" s="15"/>
      <c r="EA6" s="15"/>
      <c r="EB6" s="15"/>
      <c r="EC6" s="15"/>
      <c r="ED6" s="15"/>
      <c r="EE6" s="15"/>
      <c r="EF6" s="15"/>
      <c r="EG6" s="15"/>
      <c r="EH6" s="15"/>
      <c r="EI6" s="15"/>
      <c r="EJ6" s="15"/>
      <c r="EK6" s="15"/>
      <c r="EL6" s="15"/>
      <c r="EM6" s="15"/>
      <c r="EN6" s="15"/>
      <c r="EO6" s="15"/>
      <c r="EP6" s="15"/>
      <c r="EQ6" s="15"/>
      <c r="ER6" s="15"/>
      <c r="ES6" s="15"/>
      <c r="ET6" s="15"/>
      <c r="EU6" s="15"/>
      <c r="EV6" s="15"/>
      <c r="EW6" s="15"/>
      <c r="EX6" s="15"/>
      <c r="EY6" s="15"/>
      <c r="EZ6" s="15"/>
      <c r="FA6" s="15"/>
      <c r="FB6" s="15"/>
      <c r="FC6" s="15"/>
      <c r="FD6" s="15"/>
      <c r="FE6" s="15"/>
      <c r="FF6" s="15"/>
      <c r="FG6" s="15"/>
      <c r="FH6" s="15"/>
      <c r="FI6" s="15"/>
      <c r="FJ6" s="15"/>
      <c r="FK6" s="15"/>
      <c r="FL6" s="15"/>
      <c r="FM6" s="15"/>
      <c r="FN6" s="15"/>
      <c r="FO6" s="15"/>
      <c r="FP6" s="15"/>
      <c r="FQ6" s="15"/>
      <c r="FR6" s="15"/>
      <c r="FS6" s="15"/>
      <c r="FT6" s="15"/>
      <c r="FU6" s="15"/>
      <c r="FV6" s="15"/>
      <c r="FW6" s="15"/>
      <c r="FX6" s="15"/>
      <c r="FY6" s="15"/>
      <c r="FZ6" s="15"/>
      <c r="GA6" s="15"/>
      <c r="GB6" s="15"/>
      <c r="GC6" s="15"/>
      <c r="GD6" s="15"/>
      <c r="GE6" s="15"/>
      <c r="GF6" s="15"/>
      <c r="GG6" s="15"/>
      <c r="GH6" s="15"/>
      <c r="GI6" s="15"/>
      <c r="GJ6" s="15"/>
      <c r="GK6" s="15"/>
      <c r="GL6" s="15"/>
      <c r="GM6" s="15"/>
      <c r="GN6" s="15"/>
      <c r="GO6" s="15"/>
      <c r="GP6" s="15"/>
      <c r="GQ6" s="15"/>
      <c r="GR6" s="15"/>
      <c r="GS6" s="15"/>
      <c r="GT6" s="15"/>
      <c r="GU6" s="15"/>
      <c r="GV6" s="15"/>
      <c r="GW6" s="15"/>
      <c r="GX6" s="15"/>
      <c r="GY6" s="15"/>
      <c r="GZ6" s="15"/>
      <c r="HA6" s="15"/>
      <c r="HB6" s="15"/>
      <c r="HC6" s="15"/>
      <c r="HD6" s="15"/>
      <c r="HE6" s="15"/>
      <c r="HF6" s="15"/>
      <c r="HG6" s="15"/>
      <c r="HH6" s="15"/>
      <c r="HI6" s="15"/>
      <c r="HJ6" s="15"/>
      <c r="HK6" s="15"/>
      <c r="HL6" s="15"/>
      <c r="HM6" s="15"/>
      <c r="HN6" s="15"/>
      <c r="HO6" s="15"/>
      <c r="HP6" s="15"/>
      <c r="HQ6" s="15"/>
      <c r="HR6" s="15"/>
      <c r="HS6" s="15"/>
      <c r="HT6" s="15"/>
      <c r="HU6" s="15"/>
      <c r="HV6" s="15"/>
      <c r="HW6" s="15"/>
      <c r="HX6" s="15"/>
      <c r="HY6" s="15"/>
      <c r="HZ6" s="15"/>
      <c r="IA6" s="15"/>
      <c r="IB6" s="15"/>
      <c r="IC6" s="15"/>
      <c r="ID6" s="15"/>
      <c r="IE6" s="15"/>
      <c r="IF6" s="15"/>
      <c r="IG6" s="15"/>
      <c r="IH6" s="15"/>
      <c r="II6" s="15"/>
      <c r="IJ6" s="15"/>
      <c r="IK6" s="15"/>
      <c r="IL6" s="15"/>
      <c r="IM6" s="15"/>
      <c r="IN6" s="15"/>
      <c r="IO6" s="15"/>
      <c r="IP6" s="15"/>
      <c r="IQ6" s="15"/>
      <c r="IR6" s="15"/>
      <c r="IS6" s="15"/>
      <c r="IT6" s="15"/>
      <c r="IU6" s="15"/>
      <c r="IV6" s="15"/>
      <c r="IW6" s="15"/>
      <c r="IX6" s="15"/>
      <c r="IY6" s="15"/>
      <c r="IZ6" s="15"/>
      <c r="JA6" s="15"/>
      <c r="JB6" s="15"/>
      <c r="JC6" s="15"/>
      <c r="JD6" s="15"/>
      <c r="JE6" s="15"/>
      <c r="JF6" s="15"/>
      <c r="JG6" s="15"/>
      <c r="JH6" s="15"/>
      <c r="JI6" s="15"/>
      <c r="JJ6" s="15"/>
      <c r="JK6" s="15"/>
      <c r="JL6" s="15"/>
      <c r="JM6" s="15"/>
      <c r="JN6" s="15"/>
      <c r="JO6" s="15"/>
      <c r="JP6" s="15"/>
      <c r="JQ6" s="15"/>
      <c r="JR6" s="15"/>
      <c r="JS6" s="15"/>
      <c r="JT6" s="15"/>
      <c r="JU6" s="15"/>
      <c r="JV6" s="15"/>
      <c r="JW6" s="15"/>
      <c r="JX6" s="15"/>
      <c r="JY6" s="15"/>
      <c r="JZ6" s="15"/>
      <c r="KA6" s="15"/>
      <c r="KB6" s="15"/>
      <c r="KC6" s="15"/>
      <c r="KD6" s="15"/>
      <c r="KE6" s="15"/>
      <c r="KF6" s="15"/>
      <c r="KG6" s="15"/>
      <c r="KH6" s="15"/>
      <c r="KI6" s="15"/>
      <c r="KJ6" s="15"/>
      <c r="KK6" s="15"/>
      <c r="KL6" s="15"/>
      <c r="KM6" s="15"/>
      <c r="KN6" s="15"/>
    </row>
    <row r="7" spans="1:300" ht="76.5" thickTop="1" thickBot="1" x14ac:dyDescent="0.3">
      <c r="A7" s="10" t="str">
        <f>IF(ISBLANK(B7),"","RQ"&amp;TEXT(ROW()-6,"000"))</f>
        <v>RQ001</v>
      </c>
      <c r="B7" s="26" t="s">
        <v>119</v>
      </c>
      <c r="C7" s="26"/>
      <c r="D7" s="86">
        <v>-2</v>
      </c>
      <c r="E7" s="87">
        <v>1</v>
      </c>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s="26"/>
    </row>
    <row r="8" spans="1:300" ht="65.45" customHeight="1" thickTop="1" thickBot="1" x14ac:dyDescent="0.3">
      <c r="A8" s="10" t="str">
        <f t="shared" ref="A8:A9" si="1">IF(ISBLANK(B8),"","RQ"&amp;TEXT(ROW()-6,"000"))</f>
        <v>RQ002</v>
      </c>
      <c r="B8" s="26" t="s">
        <v>230</v>
      </c>
      <c r="C8" s="26" t="s">
        <v>70</v>
      </c>
      <c r="D8" s="81">
        <v>-1</v>
      </c>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s="26"/>
    </row>
    <row r="9" spans="1:300" ht="31.5" thickTop="1" thickBot="1" x14ac:dyDescent="0.3">
      <c r="A9" s="10" t="str">
        <f t="shared" si="1"/>
        <v>RQ003</v>
      </c>
      <c r="B9" s="26" t="s">
        <v>120</v>
      </c>
      <c r="C9" s="26" t="s">
        <v>84</v>
      </c>
      <c r="D9" s="82">
        <v>-2</v>
      </c>
      <c r="E9"/>
      <c r="F9" s="82">
        <v>-2</v>
      </c>
      <c r="G9"/>
      <c r="H9" s="82">
        <v>-2</v>
      </c>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s="26"/>
    </row>
    <row r="10" spans="1:300" ht="61.5" thickTop="1" thickBot="1" x14ac:dyDescent="0.3">
      <c r="A10" s="10" t="s">
        <v>141</v>
      </c>
      <c r="B10" s="26" t="s">
        <v>236</v>
      </c>
      <c r="C10" s="26" t="s">
        <v>71</v>
      </c>
      <c r="D10" s="85">
        <v>0</v>
      </c>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s="26"/>
    </row>
    <row r="11" spans="1:300" ht="31.5" thickTop="1" thickBot="1" x14ac:dyDescent="0.3">
      <c r="A11" s="10" t="s">
        <v>253</v>
      </c>
      <c r="B11" s="26" t="s">
        <v>254</v>
      </c>
      <c r="C11" s="26" t="s">
        <v>84</v>
      </c>
      <c r="D11" s="82">
        <v>-2</v>
      </c>
      <c r="E11"/>
      <c r="F11" s="85">
        <v>0</v>
      </c>
      <c r="G11"/>
      <c r="H11" s="82">
        <v>-2</v>
      </c>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row>
    <row r="12" spans="1:300" ht="46.5" thickTop="1" thickBot="1" x14ac:dyDescent="0.3">
      <c r="A12" s="10" t="s">
        <v>256</v>
      </c>
      <c r="B12" s="26" t="s">
        <v>257</v>
      </c>
      <c r="C12" s="26" t="s">
        <v>255</v>
      </c>
      <c r="D12" s="85">
        <v>0</v>
      </c>
      <c r="E12"/>
      <c r="F12"/>
      <c r="G12"/>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row>
    <row r="13" spans="1:300" ht="15.75" thickTop="1" x14ac:dyDescent="0.25">
      <c r="A13" s="10" t="str">
        <f t="shared" ref="A11:A39" si="2">IF(ISBLANK(B13),"","RQ"&amp;TEXT(ROW()-4,"000"))</f>
        <v/>
      </c>
      <c r="B13" s="26"/>
      <c r="C13" s="26"/>
      <c r="D13"/>
      <c r="E13"/>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row>
    <row r="14" spans="1:300" x14ac:dyDescent="0.25">
      <c r="A14" s="10" t="str">
        <f t="shared" si="2"/>
        <v/>
      </c>
      <c r="B14" s="26"/>
      <c r="C14" s="26"/>
      <c r="D14"/>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row>
    <row r="15" spans="1:300" x14ac:dyDescent="0.25">
      <c r="A15" s="10" t="str">
        <f t="shared" si="2"/>
        <v/>
      </c>
      <c r="B15" s="26"/>
      <c r="C15" s="26"/>
      <c r="D15"/>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row>
    <row r="16" spans="1:300" x14ac:dyDescent="0.25">
      <c r="A16" s="10" t="str">
        <f t="shared" si="2"/>
        <v/>
      </c>
      <c r="B16" s="26"/>
      <c r="C16" s="26"/>
      <c r="D16"/>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row>
    <row r="17" spans="1:78" x14ac:dyDescent="0.25">
      <c r="A17" s="10" t="str">
        <f t="shared" si="2"/>
        <v/>
      </c>
      <c r="B17" s="26"/>
      <c r="C17" s="26"/>
      <c r="D17"/>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row>
    <row r="18" spans="1:78" x14ac:dyDescent="0.25">
      <c r="A18" s="10" t="str">
        <f t="shared" si="2"/>
        <v/>
      </c>
      <c r="B18" s="26"/>
      <c r="C18" s="26"/>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row>
    <row r="19" spans="1:78" x14ac:dyDescent="0.25">
      <c r="A19" s="10" t="str">
        <f t="shared" si="2"/>
        <v/>
      </c>
      <c r="B19" s="26"/>
      <c r="C19" s="26"/>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row>
    <row r="20" spans="1:78" x14ac:dyDescent="0.25">
      <c r="A20" s="10" t="str">
        <f t="shared" si="2"/>
        <v/>
      </c>
      <c r="B20" s="26"/>
      <c r="C20" s="26"/>
      <c r="D20"/>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row>
    <row r="21" spans="1:78" x14ac:dyDescent="0.25">
      <c r="A21" s="10" t="str">
        <f t="shared" si="2"/>
        <v/>
      </c>
      <c r="B21" s="26"/>
      <c r="C21" s="26"/>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row>
    <row r="22" spans="1:78" x14ac:dyDescent="0.25">
      <c r="A22" s="10" t="str">
        <f t="shared" si="2"/>
        <v/>
      </c>
      <c r="B22" s="26"/>
      <c r="C22" s="26"/>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row>
    <row r="23" spans="1:78" x14ac:dyDescent="0.25">
      <c r="A23" s="10" t="str">
        <f t="shared" si="2"/>
        <v/>
      </c>
      <c r="B23" s="26"/>
      <c r="C23" s="26"/>
      <c r="D23"/>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row>
    <row r="24" spans="1:78" x14ac:dyDescent="0.25">
      <c r="A24" s="10" t="str">
        <f t="shared" si="2"/>
        <v/>
      </c>
      <c r="B24" s="26"/>
      <c r="C24" s="26"/>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row>
    <row r="25" spans="1:78" x14ac:dyDescent="0.25">
      <c r="A25" s="10" t="str">
        <f t="shared" si="2"/>
        <v/>
      </c>
      <c r="B25" s="26"/>
      <c r="C25" s="26"/>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row>
    <row r="26" spans="1:78" x14ac:dyDescent="0.25">
      <c r="A26" s="10" t="str">
        <f t="shared" si="2"/>
        <v/>
      </c>
      <c r="B26" s="26"/>
      <c r="C26" s="26"/>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row>
    <row r="27" spans="1:78" x14ac:dyDescent="0.25">
      <c r="A27" s="10" t="str">
        <f t="shared" si="2"/>
        <v/>
      </c>
      <c r="B27" s="26"/>
      <c r="C27" s="26"/>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row>
    <row r="28" spans="1:78" x14ac:dyDescent="0.25">
      <c r="A28" s="10" t="str">
        <f t="shared" si="2"/>
        <v/>
      </c>
      <c r="B28" s="26"/>
      <c r="C28" s="26"/>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row>
    <row r="29" spans="1:78" x14ac:dyDescent="0.25">
      <c r="A29" s="10" t="str">
        <f t="shared" si="2"/>
        <v/>
      </c>
      <c r="B29" s="26"/>
      <c r="C29" s="26"/>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row>
    <row r="30" spans="1:78" x14ac:dyDescent="0.25">
      <c r="A30" s="10" t="str">
        <f t="shared" si="2"/>
        <v/>
      </c>
      <c r="B30" s="26"/>
      <c r="C30" s="26"/>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row>
    <row r="31" spans="1:78" x14ac:dyDescent="0.25">
      <c r="A31" s="10" t="str">
        <f t="shared" si="2"/>
        <v/>
      </c>
      <c r="B31" s="26"/>
      <c r="C31" s="26"/>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row>
    <row r="32" spans="1:78" x14ac:dyDescent="0.25">
      <c r="A32" s="10" t="str">
        <f t="shared" si="2"/>
        <v/>
      </c>
      <c r="B32" s="26"/>
      <c r="C32" s="26"/>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row>
    <row r="33" spans="1:78" x14ac:dyDescent="0.25">
      <c r="A33" s="10" t="str">
        <f t="shared" si="2"/>
        <v/>
      </c>
      <c r="B33" s="26"/>
      <c r="C33" s="26"/>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row>
    <row r="34" spans="1:78" x14ac:dyDescent="0.25">
      <c r="A34" s="10" t="str">
        <f t="shared" si="2"/>
        <v/>
      </c>
      <c r="B34" s="26"/>
      <c r="C34" s="26"/>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row>
    <row r="35" spans="1:78" x14ac:dyDescent="0.25">
      <c r="A35" s="10" t="str">
        <f t="shared" si="2"/>
        <v/>
      </c>
      <c r="B35" s="26"/>
      <c r="C35" s="26"/>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row>
    <row r="36" spans="1:78" x14ac:dyDescent="0.25">
      <c r="A36" s="10" t="str">
        <f t="shared" si="2"/>
        <v/>
      </c>
      <c r="B36" s="26"/>
      <c r="C36" s="2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row>
    <row r="37" spans="1:78" x14ac:dyDescent="0.25">
      <c r="A37" s="10" t="str">
        <f t="shared" si="2"/>
        <v/>
      </c>
      <c r="B37" s="26"/>
      <c r="C37" s="26"/>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row>
    <row r="38" spans="1:78" x14ac:dyDescent="0.25">
      <c r="A38" s="10" t="str">
        <f t="shared" si="2"/>
        <v/>
      </c>
      <c r="B38" s="26"/>
      <c r="C38" s="26"/>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row>
    <row r="39" spans="1:78" x14ac:dyDescent="0.25">
      <c r="A39" s="10" t="str">
        <f t="shared" si="2"/>
        <v/>
      </c>
      <c r="B39" s="26"/>
      <c r="C39" s="26"/>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row>
    <row r="40" spans="1:78" x14ac:dyDescent="0.25">
      <c r="A40" s="10" t="str">
        <f t="shared" ref="A40:A80" si="3">IF(ISBLANK(B40),"","RQ"&amp;TEXT(ROW()-4,"000"))</f>
        <v/>
      </c>
      <c r="B40" s="26"/>
      <c r="C40" s="26"/>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row>
    <row r="41" spans="1:78" x14ac:dyDescent="0.25">
      <c r="A41" s="10" t="str">
        <f t="shared" si="3"/>
        <v/>
      </c>
      <c r="B41" s="26"/>
      <c r="C41" s="26"/>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row>
    <row r="42" spans="1:78" x14ac:dyDescent="0.25">
      <c r="A42" s="10" t="str">
        <f t="shared" si="3"/>
        <v/>
      </c>
      <c r="B42" s="26"/>
      <c r="C42" s="26"/>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row>
    <row r="43" spans="1:78" x14ac:dyDescent="0.25">
      <c r="A43" s="10" t="str">
        <f t="shared" si="3"/>
        <v/>
      </c>
      <c r="B43" s="26"/>
      <c r="C43" s="26"/>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row>
    <row r="44" spans="1:78" x14ac:dyDescent="0.25">
      <c r="A44" s="10" t="str">
        <f t="shared" si="3"/>
        <v/>
      </c>
      <c r="B44" s="26"/>
      <c r="C44" s="26"/>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row>
    <row r="45" spans="1:78" x14ac:dyDescent="0.25">
      <c r="A45" s="10" t="str">
        <f t="shared" si="3"/>
        <v/>
      </c>
      <c r="B45" s="26"/>
      <c r="C45" s="26"/>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row>
    <row r="46" spans="1:78" x14ac:dyDescent="0.25">
      <c r="A46" s="10" t="str">
        <f t="shared" si="3"/>
        <v/>
      </c>
      <c r="B46" s="26"/>
      <c r="C46" s="2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row>
    <row r="47" spans="1:78" x14ac:dyDescent="0.25">
      <c r="A47" s="10" t="str">
        <f t="shared" si="3"/>
        <v/>
      </c>
      <c r="B47" s="26"/>
      <c r="C47" s="26"/>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row>
    <row r="48" spans="1:78" x14ac:dyDescent="0.25">
      <c r="A48" s="10" t="str">
        <f t="shared" si="3"/>
        <v/>
      </c>
      <c r="B48" s="26"/>
      <c r="C48" s="26"/>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row>
    <row r="49" spans="1:78" x14ac:dyDescent="0.25">
      <c r="A49" s="10" t="str">
        <f t="shared" si="3"/>
        <v/>
      </c>
      <c r="B49" s="26"/>
      <c r="C49" s="26"/>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row>
    <row r="50" spans="1:78" x14ac:dyDescent="0.25">
      <c r="A50" s="10" t="str">
        <f t="shared" si="3"/>
        <v/>
      </c>
      <c r="B50" s="26"/>
      <c r="C50" s="26"/>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row>
    <row r="51" spans="1:78" x14ac:dyDescent="0.25">
      <c r="A51" s="10" t="str">
        <f t="shared" si="3"/>
        <v/>
      </c>
      <c r="B51" s="26"/>
      <c r="C51" s="26"/>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row>
    <row r="52" spans="1:78" x14ac:dyDescent="0.25">
      <c r="A52" s="10" t="str">
        <f t="shared" si="3"/>
        <v/>
      </c>
      <c r="B52" s="26"/>
      <c r="C52" s="26"/>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row>
    <row r="53" spans="1:78" x14ac:dyDescent="0.25">
      <c r="A53" s="10" t="str">
        <f t="shared" si="3"/>
        <v/>
      </c>
      <c r="B53" s="26"/>
      <c r="C53" s="26"/>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row>
    <row r="54" spans="1:78" x14ac:dyDescent="0.25">
      <c r="A54" s="10" t="str">
        <f t="shared" si="3"/>
        <v/>
      </c>
      <c r="B54" s="26"/>
      <c r="C54" s="26"/>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row>
    <row r="55" spans="1:78" x14ac:dyDescent="0.25">
      <c r="A55" s="10" t="str">
        <f t="shared" si="3"/>
        <v/>
      </c>
      <c r="B55" s="26"/>
      <c r="C55" s="26"/>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row>
    <row r="56" spans="1:78" x14ac:dyDescent="0.25">
      <c r="A56" s="10" t="str">
        <f t="shared" si="3"/>
        <v/>
      </c>
      <c r="B56" s="26"/>
      <c r="C56" s="2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row>
    <row r="57" spans="1:78" x14ac:dyDescent="0.25">
      <c r="A57" s="10" t="str">
        <f t="shared" si="3"/>
        <v/>
      </c>
      <c r="B57" s="26"/>
      <c r="C57" s="26"/>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row>
    <row r="58" spans="1:78" x14ac:dyDescent="0.25">
      <c r="A58" s="10" t="str">
        <f t="shared" si="3"/>
        <v/>
      </c>
      <c r="B58" s="26"/>
      <c r="C58" s="26"/>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row>
    <row r="59" spans="1:78" x14ac:dyDescent="0.25">
      <c r="A59" s="10" t="str">
        <f t="shared" si="3"/>
        <v/>
      </c>
      <c r="B59" s="26"/>
      <c r="C59" s="26"/>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row>
    <row r="60" spans="1:78" x14ac:dyDescent="0.25">
      <c r="A60" s="10" t="str">
        <f t="shared" si="3"/>
        <v/>
      </c>
      <c r="B60" s="26"/>
      <c r="C60" s="26"/>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row>
    <row r="61" spans="1:78" x14ac:dyDescent="0.25">
      <c r="A61" s="10" t="str">
        <f t="shared" si="3"/>
        <v/>
      </c>
      <c r="B61" s="26"/>
      <c r="C61" s="26"/>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row>
    <row r="62" spans="1:78" x14ac:dyDescent="0.25">
      <c r="A62" s="10" t="str">
        <f t="shared" si="3"/>
        <v/>
      </c>
      <c r="B62" s="26"/>
      <c r="C62" s="26"/>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row>
    <row r="63" spans="1:78" x14ac:dyDescent="0.25">
      <c r="A63" s="10" t="str">
        <f t="shared" si="3"/>
        <v/>
      </c>
      <c r="B63" s="26"/>
      <c r="C63" s="26"/>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row>
    <row r="64" spans="1:78" x14ac:dyDescent="0.25">
      <c r="A64" s="10" t="str">
        <f t="shared" si="3"/>
        <v/>
      </c>
      <c r="B64" s="26"/>
      <c r="C64" s="26"/>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row>
    <row r="65" spans="1:78" x14ac:dyDescent="0.25">
      <c r="A65" s="10" t="str">
        <f t="shared" si="3"/>
        <v/>
      </c>
      <c r="B65" s="26"/>
      <c r="C65" s="26"/>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row>
    <row r="66" spans="1:78" x14ac:dyDescent="0.25">
      <c r="A66" s="10" t="str">
        <f t="shared" si="3"/>
        <v/>
      </c>
      <c r="B66" s="26"/>
      <c r="C66" s="2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row>
    <row r="67" spans="1:78" x14ac:dyDescent="0.25">
      <c r="A67" s="10" t="str">
        <f t="shared" si="3"/>
        <v/>
      </c>
      <c r="B67" s="26"/>
      <c r="C67" s="26"/>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row>
    <row r="68" spans="1:78" x14ac:dyDescent="0.25">
      <c r="A68" s="10" t="str">
        <f t="shared" si="3"/>
        <v/>
      </c>
      <c r="B68" s="26"/>
      <c r="C68" s="26"/>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row>
    <row r="69" spans="1:78" x14ac:dyDescent="0.25">
      <c r="A69" s="10" t="str">
        <f t="shared" si="3"/>
        <v/>
      </c>
      <c r="B69" s="26"/>
      <c r="C69" s="26"/>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row>
    <row r="70" spans="1:78" x14ac:dyDescent="0.25">
      <c r="A70" s="10" t="str">
        <f t="shared" si="3"/>
        <v/>
      </c>
      <c r="B70" s="26"/>
      <c r="C70" s="26"/>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row>
    <row r="71" spans="1:78" x14ac:dyDescent="0.25">
      <c r="A71" s="10" t="str">
        <f t="shared" si="3"/>
        <v/>
      </c>
      <c r="B71" s="26"/>
      <c r="C71" s="26"/>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row>
    <row r="72" spans="1:78" x14ac:dyDescent="0.25">
      <c r="A72" s="10" t="str">
        <f t="shared" si="3"/>
        <v/>
      </c>
      <c r="B72" s="26"/>
      <c r="C72" s="26"/>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row>
    <row r="73" spans="1:78" x14ac:dyDescent="0.25">
      <c r="A73" s="10" t="str">
        <f t="shared" si="3"/>
        <v/>
      </c>
      <c r="B73" s="26"/>
      <c r="C73" s="26"/>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row>
    <row r="74" spans="1:78" x14ac:dyDescent="0.25">
      <c r="A74" s="10" t="str">
        <f t="shared" si="3"/>
        <v/>
      </c>
      <c r="B74" s="26"/>
      <c r="C74" s="26"/>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row>
    <row r="75" spans="1:78" x14ac:dyDescent="0.25">
      <c r="A75" s="10" t="str">
        <f t="shared" si="3"/>
        <v/>
      </c>
      <c r="B75" s="26"/>
      <c r="C75" s="26"/>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row>
    <row r="76" spans="1:78" x14ac:dyDescent="0.25">
      <c r="A76" s="10" t="str">
        <f t="shared" si="3"/>
        <v/>
      </c>
      <c r="B76" s="26"/>
      <c r="C76" s="2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row>
    <row r="77" spans="1:78" x14ac:dyDescent="0.25">
      <c r="A77" s="10" t="str">
        <f t="shared" si="3"/>
        <v/>
      </c>
      <c r="B77" s="26"/>
      <c r="C77" s="26"/>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row>
    <row r="78" spans="1:78" x14ac:dyDescent="0.25">
      <c r="A78" s="10" t="str">
        <f t="shared" si="3"/>
        <v/>
      </c>
      <c r="B78" s="26"/>
      <c r="C78" s="26"/>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row>
    <row r="79" spans="1:78" x14ac:dyDescent="0.25">
      <c r="A79" s="10" t="str">
        <f t="shared" si="3"/>
        <v/>
      </c>
      <c r="B79" s="26"/>
      <c r="C79" s="26"/>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row>
    <row r="80" spans="1:78" x14ac:dyDescent="0.25">
      <c r="A80" s="10" t="str">
        <f t="shared" si="3"/>
        <v/>
      </c>
      <c r="B80" s="26"/>
      <c r="C80" s="26"/>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row>
    <row r="81" spans="1:78" x14ac:dyDescent="0.25">
      <c r="A81" s="10" t="str">
        <f t="shared" ref="A81:A103" si="4">IF(ISBLANK(B81),"","RQ"&amp;TEXT(ROW()-3,"000"))</f>
        <v/>
      </c>
      <c r="B81" s="26"/>
      <c r="C81" s="26"/>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row>
    <row r="82" spans="1:78" x14ac:dyDescent="0.25">
      <c r="A82" s="10" t="str">
        <f t="shared" si="4"/>
        <v/>
      </c>
      <c r="B82" s="26"/>
      <c r="C82" s="26"/>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row>
    <row r="83" spans="1:78" x14ac:dyDescent="0.25">
      <c r="A83" s="10" t="str">
        <f t="shared" si="4"/>
        <v/>
      </c>
      <c r="B83" s="26"/>
      <c r="C83" s="26"/>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row>
    <row r="84" spans="1:78" x14ac:dyDescent="0.25">
      <c r="A84" s="10" t="str">
        <f t="shared" si="4"/>
        <v/>
      </c>
      <c r="B84" s="26"/>
      <c r="C84" s="26"/>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row>
    <row r="85" spans="1:78" x14ac:dyDescent="0.25">
      <c r="A85" s="10" t="str">
        <f t="shared" si="4"/>
        <v/>
      </c>
      <c r="B85" s="26"/>
      <c r="C85" s="26"/>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row>
    <row r="86" spans="1:78" x14ac:dyDescent="0.25">
      <c r="A86" s="10" t="str">
        <f t="shared" si="4"/>
        <v/>
      </c>
      <c r="B86" s="26"/>
      <c r="C86" s="2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row>
    <row r="87" spans="1:78" x14ac:dyDescent="0.25">
      <c r="A87" s="10" t="str">
        <f t="shared" si="4"/>
        <v/>
      </c>
      <c r="B87" s="26"/>
      <c r="C87" s="26"/>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row>
    <row r="88" spans="1:78" x14ac:dyDescent="0.25">
      <c r="A88" s="10" t="str">
        <f t="shared" si="4"/>
        <v/>
      </c>
      <c r="B88" s="26"/>
      <c r="C88" s="26"/>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row>
    <row r="89" spans="1:78" x14ac:dyDescent="0.25">
      <c r="A89" s="10" t="str">
        <f t="shared" si="4"/>
        <v/>
      </c>
      <c r="B89" s="26"/>
      <c r="C89" s="26"/>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row>
    <row r="90" spans="1:78" x14ac:dyDescent="0.25">
      <c r="A90" s="10" t="str">
        <f t="shared" si="4"/>
        <v/>
      </c>
      <c r="B90" s="26"/>
      <c r="C90" s="26"/>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row>
    <row r="91" spans="1:78" x14ac:dyDescent="0.25">
      <c r="A91" s="10" t="str">
        <f t="shared" si="4"/>
        <v/>
      </c>
      <c r="B91" s="26"/>
      <c r="C91" s="26"/>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row>
    <row r="92" spans="1:78" x14ac:dyDescent="0.25">
      <c r="A92" s="10" t="str">
        <f t="shared" si="4"/>
        <v/>
      </c>
      <c r="B92" s="26"/>
      <c r="C92" s="26"/>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row>
    <row r="93" spans="1:78" x14ac:dyDescent="0.25">
      <c r="A93" s="10" t="str">
        <f t="shared" si="4"/>
        <v/>
      </c>
      <c r="B93" s="26"/>
      <c r="C93" s="26"/>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row>
    <row r="94" spans="1:78" x14ac:dyDescent="0.25">
      <c r="A94" s="10" t="str">
        <f t="shared" si="4"/>
        <v/>
      </c>
      <c r="B94" s="26"/>
      <c r="C94" s="26"/>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row>
    <row r="95" spans="1:78" x14ac:dyDescent="0.25">
      <c r="A95" s="10" t="str">
        <f t="shared" si="4"/>
        <v/>
      </c>
      <c r="B95" s="26"/>
      <c r="C95" s="26"/>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row>
    <row r="96" spans="1:78" x14ac:dyDescent="0.25">
      <c r="A96" s="10" t="str">
        <f t="shared" si="4"/>
        <v/>
      </c>
      <c r="B96" s="26"/>
      <c r="C96" s="2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row>
    <row r="97" spans="1:78" x14ac:dyDescent="0.25">
      <c r="A97" s="10" t="str">
        <f t="shared" si="4"/>
        <v/>
      </c>
      <c r="B97" s="26"/>
      <c r="C97" s="26"/>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row>
    <row r="98" spans="1:78" x14ac:dyDescent="0.25">
      <c r="A98" s="10" t="str">
        <f t="shared" si="4"/>
        <v/>
      </c>
      <c r="B98" s="26"/>
      <c r="C98" s="26"/>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row>
    <row r="99" spans="1:78" x14ac:dyDescent="0.25">
      <c r="A99" s="10" t="str">
        <f t="shared" si="4"/>
        <v/>
      </c>
      <c r="B99" s="26"/>
      <c r="C99" s="26"/>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row>
    <row r="100" spans="1:78" x14ac:dyDescent="0.25">
      <c r="A100" s="10" t="str">
        <f t="shared" si="4"/>
        <v/>
      </c>
      <c r="B100" s="26"/>
      <c r="C100" s="26"/>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row>
    <row r="101" spans="1:78" x14ac:dyDescent="0.25">
      <c r="A101" s="10" t="str">
        <f t="shared" si="4"/>
        <v/>
      </c>
      <c r="B101" s="26"/>
      <c r="C101" s="26"/>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row>
    <row r="102" spans="1:78" x14ac:dyDescent="0.25">
      <c r="A102" s="10" t="str">
        <f t="shared" si="4"/>
        <v/>
      </c>
      <c r="B102" s="26"/>
      <c r="C102" s="26"/>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row>
    <row r="103" spans="1:78" x14ac:dyDescent="0.25">
      <c r="A103" s="10" t="str">
        <f t="shared" si="4"/>
        <v/>
      </c>
      <c r="B103" s="26"/>
      <c r="C103" s="26"/>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row>
    <row r="104" spans="1:78" x14ac:dyDescent="0.25">
      <c r="A104" s="10" t="str">
        <f t="shared" ref="A104:A167" si="5">IF(ISBLANK(B104),"","RQ"&amp;TEXT(ROW()-3,"000"))</f>
        <v/>
      </c>
      <c r="B104" s="26"/>
      <c r="C104" s="26"/>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row>
    <row r="105" spans="1:78" x14ac:dyDescent="0.25">
      <c r="A105" s="10" t="str">
        <f t="shared" si="5"/>
        <v/>
      </c>
      <c r="B105" s="26"/>
      <c r="C105" s="26"/>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row>
    <row r="106" spans="1:78" x14ac:dyDescent="0.25">
      <c r="A106" s="10" t="str">
        <f t="shared" si="5"/>
        <v/>
      </c>
      <c r="B106" s="26"/>
      <c r="C106" s="2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row>
    <row r="107" spans="1:78" x14ac:dyDescent="0.25">
      <c r="A107" s="10" t="str">
        <f t="shared" si="5"/>
        <v/>
      </c>
      <c r="B107" s="26"/>
      <c r="C107" s="26"/>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row>
    <row r="108" spans="1:78" x14ac:dyDescent="0.25">
      <c r="A108" s="10" t="str">
        <f t="shared" si="5"/>
        <v/>
      </c>
      <c r="B108" s="26"/>
      <c r="C108" s="26"/>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row>
    <row r="109" spans="1:78" x14ac:dyDescent="0.25">
      <c r="A109" s="10" t="str">
        <f t="shared" si="5"/>
        <v/>
      </c>
      <c r="B109" s="26"/>
      <c r="C109" s="26"/>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row>
    <row r="110" spans="1:78" x14ac:dyDescent="0.25">
      <c r="A110" s="10" t="str">
        <f t="shared" si="5"/>
        <v/>
      </c>
      <c r="B110" s="26"/>
      <c r="C110" s="26"/>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row>
    <row r="111" spans="1:78" x14ac:dyDescent="0.25">
      <c r="A111" s="10" t="str">
        <f t="shared" si="5"/>
        <v/>
      </c>
      <c r="B111" s="26"/>
      <c r="C111" s="26"/>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row>
    <row r="112" spans="1:78" x14ac:dyDescent="0.25">
      <c r="A112" s="10" t="str">
        <f t="shared" si="5"/>
        <v/>
      </c>
      <c r="B112" s="26"/>
      <c r="C112" s="26"/>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row>
    <row r="113" spans="1:78" x14ac:dyDescent="0.25">
      <c r="A113" s="10" t="str">
        <f t="shared" si="5"/>
        <v/>
      </c>
      <c r="B113" s="26"/>
      <c r="C113" s="26"/>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row>
    <row r="114" spans="1:78" x14ac:dyDescent="0.25">
      <c r="A114" s="10" t="str">
        <f t="shared" si="5"/>
        <v/>
      </c>
      <c r="B114" s="26"/>
      <c r="C114" s="26"/>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row>
    <row r="115" spans="1:78" x14ac:dyDescent="0.25">
      <c r="A115" s="10" t="str">
        <f t="shared" si="5"/>
        <v/>
      </c>
      <c r="B115" s="26"/>
      <c r="C115" s="26"/>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row>
    <row r="116" spans="1:78" x14ac:dyDescent="0.25">
      <c r="A116" s="10" t="str">
        <f t="shared" si="5"/>
        <v/>
      </c>
      <c r="B116" s="26"/>
      <c r="C116" s="2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row>
    <row r="117" spans="1:78" x14ac:dyDescent="0.25">
      <c r="A117" s="10" t="str">
        <f t="shared" si="5"/>
        <v/>
      </c>
      <c r="B117" s="26"/>
      <c r="C117" s="26"/>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row>
    <row r="118" spans="1:78" x14ac:dyDescent="0.25">
      <c r="A118" s="10" t="str">
        <f t="shared" si="5"/>
        <v/>
      </c>
      <c r="B118" s="26"/>
      <c r="C118" s="26"/>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row>
    <row r="119" spans="1:78" x14ac:dyDescent="0.25">
      <c r="A119" s="10" t="str">
        <f t="shared" si="5"/>
        <v/>
      </c>
      <c r="B119" s="26"/>
      <c r="C119" s="26"/>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row>
    <row r="120" spans="1:78" x14ac:dyDescent="0.25">
      <c r="A120" s="10" t="str">
        <f t="shared" si="5"/>
        <v/>
      </c>
      <c r="B120" s="26"/>
      <c r="C120" s="26"/>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row>
    <row r="121" spans="1:78" x14ac:dyDescent="0.25">
      <c r="A121" s="10" t="str">
        <f t="shared" si="5"/>
        <v/>
      </c>
      <c r="B121" s="26"/>
      <c r="C121" s="26"/>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row>
    <row r="122" spans="1:78" x14ac:dyDescent="0.25">
      <c r="A122" s="10" t="str">
        <f t="shared" si="5"/>
        <v/>
      </c>
      <c r="B122" s="26"/>
      <c r="C122" s="26"/>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row>
    <row r="123" spans="1:78" x14ac:dyDescent="0.25">
      <c r="A123" s="10" t="str">
        <f t="shared" si="5"/>
        <v/>
      </c>
      <c r="B123" s="26"/>
      <c r="C123" s="26"/>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row>
    <row r="124" spans="1:78" x14ac:dyDescent="0.25">
      <c r="A124" s="10" t="str">
        <f t="shared" si="5"/>
        <v/>
      </c>
      <c r="B124" s="26"/>
      <c r="C124" s="26"/>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row>
    <row r="125" spans="1:78" x14ac:dyDescent="0.25">
      <c r="A125" s="10" t="str">
        <f t="shared" si="5"/>
        <v/>
      </c>
      <c r="B125" s="26"/>
      <c r="C125" s="26"/>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row>
    <row r="126" spans="1:78" x14ac:dyDescent="0.25">
      <c r="A126" s="10" t="str">
        <f t="shared" si="5"/>
        <v/>
      </c>
      <c r="B126" s="26"/>
      <c r="C126" s="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row>
    <row r="127" spans="1:78" x14ac:dyDescent="0.25">
      <c r="A127" s="10" t="str">
        <f t="shared" si="5"/>
        <v/>
      </c>
      <c r="B127" s="26"/>
      <c r="C127" s="26"/>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row>
    <row r="128" spans="1:78" x14ac:dyDescent="0.25">
      <c r="A128" s="10" t="str">
        <f t="shared" si="5"/>
        <v/>
      </c>
      <c r="B128" s="26"/>
      <c r="C128" s="26"/>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row>
    <row r="129" spans="1:78" x14ac:dyDescent="0.25">
      <c r="A129" s="10" t="str">
        <f t="shared" si="5"/>
        <v/>
      </c>
      <c r="B129" s="26"/>
      <c r="C129" s="26"/>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row>
    <row r="130" spans="1:78" x14ac:dyDescent="0.25">
      <c r="A130" s="10" t="str">
        <f t="shared" si="5"/>
        <v/>
      </c>
      <c r="B130" s="26"/>
      <c r="C130" s="26"/>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row>
    <row r="131" spans="1:78" x14ac:dyDescent="0.25">
      <c r="A131" s="10" t="str">
        <f t="shared" si="5"/>
        <v/>
      </c>
      <c r="B131" s="26"/>
      <c r="C131" s="26"/>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row>
    <row r="132" spans="1:78" x14ac:dyDescent="0.25">
      <c r="A132" s="10" t="str">
        <f t="shared" si="5"/>
        <v/>
      </c>
      <c r="B132" s="26"/>
      <c r="C132" s="26"/>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row>
    <row r="133" spans="1:78" x14ac:dyDescent="0.25">
      <c r="A133" s="10" t="str">
        <f t="shared" si="5"/>
        <v/>
      </c>
      <c r="B133" s="26"/>
      <c r="C133" s="26"/>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row>
    <row r="134" spans="1:78" x14ac:dyDescent="0.25">
      <c r="A134" s="10" t="str">
        <f t="shared" si="5"/>
        <v/>
      </c>
      <c r="B134" s="26"/>
      <c r="C134" s="26"/>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row>
    <row r="135" spans="1:78" x14ac:dyDescent="0.25">
      <c r="A135" s="10" t="str">
        <f t="shared" si="5"/>
        <v/>
      </c>
      <c r="B135" s="26"/>
      <c r="C135" s="26"/>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row>
    <row r="136" spans="1:78" x14ac:dyDescent="0.25">
      <c r="A136" s="10" t="str">
        <f t="shared" si="5"/>
        <v/>
      </c>
      <c r="B136" s="26"/>
      <c r="C136" s="2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row>
    <row r="137" spans="1:78" x14ac:dyDescent="0.25">
      <c r="A137" s="10" t="str">
        <f t="shared" si="5"/>
        <v/>
      </c>
      <c r="B137" s="26"/>
      <c r="C137" s="26"/>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row>
    <row r="138" spans="1:78" x14ac:dyDescent="0.25">
      <c r="A138" s="10" t="str">
        <f t="shared" si="5"/>
        <v/>
      </c>
      <c r="B138" s="26"/>
      <c r="C138" s="26"/>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row>
    <row r="139" spans="1:78" x14ac:dyDescent="0.25">
      <c r="A139" s="10" t="str">
        <f t="shared" si="5"/>
        <v/>
      </c>
      <c r="B139" s="26"/>
      <c r="C139" s="26"/>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row>
    <row r="140" spans="1:78" x14ac:dyDescent="0.25">
      <c r="A140" s="10" t="str">
        <f t="shared" si="5"/>
        <v/>
      </c>
      <c r="B140" s="26"/>
      <c r="C140" s="26"/>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row>
    <row r="141" spans="1:78" x14ac:dyDescent="0.25">
      <c r="A141" s="10" t="str">
        <f t="shared" si="5"/>
        <v/>
      </c>
      <c r="B141" s="26"/>
      <c r="C141" s="26"/>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row>
    <row r="142" spans="1:78" x14ac:dyDescent="0.25">
      <c r="A142" s="10" t="str">
        <f t="shared" si="5"/>
        <v/>
      </c>
      <c r="B142" s="26"/>
      <c r="C142" s="26"/>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row>
    <row r="143" spans="1:78" x14ac:dyDescent="0.25">
      <c r="A143" s="10" t="str">
        <f t="shared" si="5"/>
        <v/>
      </c>
      <c r="B143" s="26"/>
      <c r="C143" s="26"/>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row>
    <row r="144" spans="1:78" x14ac:dyDescent="0.25">
      <c r="A144" s="10" t="str">
        <f t="shared" si="5"/>
        <v/>
      </c>
      <c r="B144" s="26"/>
      <c r="C144" s="26"/>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row>
    <row r="145" spans="1:78" x14ac:dyDescent="0.25">
      <c r="A145" s="10" t="str">
        <f t="shared" si="5"/>
        <v/>
      </c>
      <c r="B145" s="26"/>
      <c r="C145" s="26"/>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row>
    <row r="146" spans="1:78" x14ac:dyDescent="0.25">
      <c r="A146" s="10" t="str">
        <f t="shared" si="5"/>
        <v/>
      </c>
      <c r="B146" s="26"/>
      <c r="C146" s="2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row>
    <row r="147" spans="1:78" x14ac:dyDescent="0.25">
      <c r="A147" s="10" t="str">
        <f t="shared" si="5"/>
        <v/>
      </c>
      <c r="B147" s="26"/>
      <c r="C147" s="26"/>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row>
    <row r="148" spans="1:78" x14ac:dyDescent="0.25">
      <c r="A148" s="10" t="str">
        <f t="shared" si="5"/>
        <v/>
      </c>
      <c r="B148" s="26"/>
      <c r="C148" s="26"/>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row>
    <row r="149" spans="1:78" x14ac:dyDescent="0.25">
      <c r="A149" s="10" t="str">
        <f t="shared" si="5"/>
        <v/>
      </c>
      <c r="B149" s="26"/>
      <c r="C149" s="26"/>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row>
    <row r="150" spans="1:78" x14ac:dyDescent="0.25">
      <c r="A150" s="10" t="str">
        <f t="shared" si="5"/>
        <v/>
      </c>
      <c r="B150" s="26"/>
      <c r="C150" s="26"/>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row>
    <row r="151" spans="1:78" x14ac:dyDescent="0.25">
      <c r="A151" s="10" t="str">
        <f t="shared" si="5"/>
        <v/>
      </c>
      <c r="B151" s="26"/>
      <c r="C151" s="26"/>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row>
    <row r="152" spans="1:78" x14ac:dyDescent="0.25">
      <c r="A152" s="10" t="str">
        <f t="shared" si="5"/>
        <v/>
      </c>
      <c r="B152" s="26"/>
      <c r="C152" s="26"/>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row>
    <row r="153" spans="1:78" x14ac:dyDescent="0.25">
      <c r="A153" s="10" t="str">
        <f t="shared" si="5"/>
        <v/>
      </c>
      <c r="B153" s="26"/>
      <c r="C153" s="26"/>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row>
    <row r="154" spans="1:78" x14ac:dyDescent="0.25">
      <c r="A154" s="10" t="str">
        <f t="shared" si="5"/>
        <v/>
      </c>
      <c r="B154" s="26"/>
      <c r="C154" s="26"/>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row>
    <row r="155" spans="1:78" x14ac:dyDescent="0.25">
      <c r="A155" s="10" t="str">
        <f t="shared" si="5"/>
        <v/>
      </c>
      <c r="B155" s="26"/>
      <c r="C155" s="26"/>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row>
    <row r="156" spans="1:78" x14ac:dyDescent="0.25">
      <c r="A156" s="10" t="str">
        <f t="shared" si="5"/>
        <v/>
      </c>
      <c r="B156" s="26"/>
      <c r="C156" s="2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row>
    <row r="157" spans="1:78" x14ac:dyDescent="0.25">
      <c r="A157" s="10" t="str">
        <f t="shared" si="5"/>
        <v/>
      </c>
      <c r="B157" s="26"/>
      <c r="C157" s="26"/>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row>
    <row r="158" spans="1:78" x14ac:dyDescent="0.25">
      <c r="A158" s="10" t="str">
        <f t="shared" si="5"/>
        <v/>
      </c>
      <c r="B158" s="26"/>
      <c r="C158" s="26"/>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row>
    <row r="159" spans="1:78" x14ac:dyDescent="0.25">
      <c r="A159" s="10" t="str">
        <f t="shared" si="5"/>
        <v/>
      </c>
      <c r="B159" s="26"/>
      <c r="C159" s="26"/>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row>
    <row r="160" spans="1:78" x14ac:dyDescent="0.25">
      <c r="A160" s="10" t="str">
        <f t="shared" si="5"/>
        <v/>
      </c>
      <c r="B160" s="26"/>
      <c r="C160" s="26"/>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row>
    <row r="161" spans="1:78" x14ac:dyDescent="0.25">
      <c r="A161" s="10" t="str">
        <f t="shared" si="5"/>
        <v/>
      </c>
      <c r="B161" s="26"/>
      <c r="C161" s="26"/>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row>
    <row r="162" spans="1:78" x14ac:dyDescent="0.25">
      <c r="A162" s="10" t="str">
        <f t="shared" si="5"/>
        <v/>
      </c>
      <c r="B162" s="26"/>
      <c r="C162" s="26"/>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row>
    <row r="163" spans="1:78" x14ac:dyDescent="0.25">
      <c r="A163" s="10" t="str">
        <f t="shared" si="5"/>
        <v/>
      </c>
      <c r="B163" s="26"/>
      <c r="C163" s="26"/>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row>
    <row r="164" spans="1:78" x14ac:dyDescent="0.25">
      <c r="A164" s="10" t="str">
        <f t="shared" si="5"/>
        <v/>
      </c>
      <c r="B164" s="26"/>
      <c r="C164" s="26"/>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row>
    <row r="165" spans="1:78" x14ac:dyDescent="0.25">
      <c r="A165" s="10" t="str">
        <f t="shared" si="5"/>
        <v/>
      </c>
      <c r="B165" s="26"/>
      <c r="C165" s="26"/>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row>
    <row r="166" spans="1:78" x14ac:dyDescent="0.25">
      <c r="A166" s="10" t="str">
        <f t="shared" si="5"/>
        <v/>
      </c>
      <c r="B166" s="26"/>
      <c r="C166" s="2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row>
    <row r="167" spans="1:78" x14ac:dyDescent="0.25">
      <c r="A167" s="10" t="str">
        <f t="shared" si="5"/>
        <v/>
      </c>
      <c r="B167" s="26"/>
      <c r="C167" s="26"/>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row>
    <row r="168" spans="1:78" x14ac:dyDescent="0.25">
      <c r="A168" s="10" t="str">
        <f t="shared" ref="A168" si="6">IF(ISBLANK(B168),"","RQ"&amp;TEXT(ROW()-3,"000"))</f>
        <v/>
      </c>
      <c r="B168" s="26"/>
      <c r="C168" s="26"/>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row>
    <row r="169" spans="1:78" x14ac:dyDescent="0.25">
      <c r="B169" s="26"/>
      <c r="C169" s="26"/>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row>
    <row r="170" spans="1:78" x14ac:dyDescent="0.25">
      <c r="B170" s="26"/>
      <c r="C170" s="26"/>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row>
    <row r="171" spans="1:78" x14ac:dyDescent="0.25">
      <c r="B171" s="26"/>
      <c r="C171" s="26"/>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row>
    <row r="172" spans="1:78" x14ac:dyDescent="0.25">
      <c r="B172" s="26"/>
      <c r="C172" s="26"/>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row>
    <row r="173" spans="1:78" x14ac:dyDescent="0.25">
      <c r="B173" s="26"/>
      <c r="C173" s="26"/>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row>
    <row r="174" spans="1:78" x14ac:dyDescent="0.25">
      <c r="B174" s="26"/>
      <c r="C174" s="26"/>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row>
    <row r="175" spans="1:78" x14ac:dyDescent="0.25">
      <c r="B175" s="26"/>
      <c r="C175" s="26"/>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row>
    <row r="176" spans="1:78" x14ac:dyDescent="0.25">
      <c r="B176" s="26"/>
      <c r="C176" s="2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row>
    <row r="177" spans="2:78" x14ac:dyDescent="0.25">
      <c r="B177" s="26"/>
      <c r="C177" s="26"/>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row>
    <row r="178" spans="2:78" x14ac:dyDescent="0.25">
      <c r="B178" s="26"/>
      <c r="C178" s="26"/>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row>
    <row r="179" spans="2:78" x14ac:dyDescent="0.25">
      <c r="B179" s="26"/>
      <c r="C179" s="26"/>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row>
    <row r="180" spans="2:78" x14ac:dyDescent="0.25">
      <c r="B180" s="26"/>
      <c r="C180" s="26"/>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row>
    <row r="181" spans="2:78" x14ac:dyDescent="0.25">
      <c r="B181" s="26"/>
      <c r="C181" s="26"/>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row>
    <row r="182" spans="2:78" x14ac:dyDescent="0.25">
      <c r="B182" s="26"/>
      <c r="C182" s="26"/>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row>
    <row r="183" spans="2:78" x14ac:dyDescent="0.25">
      <c r="B183" s="26"/>
      <c r="C183" s="26"/>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row>
    <row r="184" spans="2:78" x14ac:dyDescent="0.25">
      <c r="B184" s="26"/>
      <c r="C184" s="26"/>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row>
    <row r="185" spans="2:78" x14ac:dyDescent="0.25">
      <c r="B185" s="26"/>
      <c r="C185" s="26"/>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row>
    <row r="186" spans="2:78" x14ac:dyDescent="0.25">
      <c r="B186" s="26"/>
      <c r="C186" s="2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row>
    <row r="187" spans="2:78" x14ac:dyDescent="0.25">
      <c r="B187" s="26"/>
      <c r="C187" s="26"/>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row>
    <row r="188" spans="2:78" x14ac:dyDescent="0.25">
      <c r="B188" s="26"/>
      <c r="C188" s="26"/>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row>
    <row r="189" spans="2:78" x14ac:dyDescent="0.25">
      <c r="B189" s="26"/>
      <c r="C189" s="26"/>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row>
    <row r="190" spans="2:78" x14ac:dyDescent="0.25">
      <c r="B190" s="26"/>
      <c r="C190" s="26"/>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row>
    <row r="191" spans="2:78" x14ac:dyDescent="0.25">
      <c r="B191" s="26"/>
      <c r="C191" s="26"/>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row>
    <row r="192" spans="2:78" x14ac:dyDescent="0.25">
      <c r="B192" s="26"/>
      <c r="C192" s="26"/>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row>
    <row r="193" spans="2:78" x14ac:dyDescent="0.25">
      <c r="B193" s="26"/>
      <c r="C193" s="26"/>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row>
    <row r="194" spans="2:78" x14ac:dyDescent="0.25">
      <c r="B194" s="26"/>
      <c r="C194" s="26"/>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row>
    <row r="195" spans="2:78" x14ac:dyDescent="0.25">
      <c r="B195" s="26"/>
      <c r="C195" s="26"/>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row>
    <row r="196" spans="2:78" x14ac:dyDescent="0.25">
      <c r="B196" s="26"/>
      <c r="C196" s="2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row>
    <row r="197" spans="2:78" x14ac:dyDescent="0.25">
      <c r="B197" s="26"/>
      <c r="C197" s="26"/>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row>
    <row r="198" spans="2:78" x14ac:dyDescent="0.25">
      <c r="B198" s="26"/>
      <c r="C198" s="26"/>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row>
    <row r="199" spans="2:78" x14ac:dyDescent="0.25">
      <c r="B199" s="26"/>
      <c r="C199" s="26"/>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row>
    <row r="200" spans="2:78" x14ac:dyDescent="0.25">
      <c r="B200" s="26"/>
      <c r="C200" s="26"/>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row>
    <row r="201" spans="2:78" x14ac:dyDescent="0.25">
      <c r="B201" s="26"/>
      <c r="C201" s="26"/>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row>
    <row r="202" spans="2:78" x14ac:dyDescent="0.25">
      <c r="B202" s="26"/>
      <c r="C202" s="26"/>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row>
    <row r="203" spans="2:78" x14ac:dyDescent="0.25">
      <c r="B203" s="26"/>
      <c r="C203" s="26"/>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row>
    <row r="204" spans="2:78" x14ac:dyDescent="0.25">
      <c r="B204" s="26"/>
      <c r="C204" s="26"/>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row>
    <row r="205" spans="2:78" x14ac:dyDescent="0.25">
      <c r="B205" s="26"/>
      <c r="C205" s="26"/>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row>
    <row r="206" spans="2:78" x14ac:dyDescent="0.25">
      <c r="B206" s="26"/>
      <c r="C206" s="2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row>
    <row r="207" spans="2:78" x14ac:dyDescent="0.25">
      <c r="B207" s="26"/>
      <c r="C207" s="26"/>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row>
    <row r="208" spans="2:78" x14ac:dyDescent="0.25">
      <c r="B208" s="26"/>
      <c r="C208" s="26"/>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row>
    <row r="209" spans="2:78" x14ac:dyDescent="0.25">
      <c r="B209" s="26"/>
      <c r="C209" s="26"/>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row>
    <row r="210" spans="2:78" x14ac:dyDescent="0.25">
      <c r="B210" s="26"/>
      <c r="C210" s="26"/>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row>
    <row r="211" spans="2:78" x14ac:dyDescent="0.25">
      <c r="B211" s="26"/>
      <c r="C211" s="26"/>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row>
    <row r="212" spans="2:78" x14ac:dyDescent="0.25">
      <c r="B212" s="26"/>
      <c r="C212" s="26"/>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row>
    <row r="213" spans="2:78" x14ac:dyDescent="0.25">
      <c r="B213" s="26"/>
      <c r="C213" s="26"/>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row>
    <row r="214" spans="2:78" x14ac:dyDescent="0.25">
      <c r="B214" s="26"/>
      <c r="C214" s="26"/>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row>
    <row r="215" spans="2:78" x14ac:dyDescent="0.25">
      <c r="B215" s="26"/>
      <c r="C215" s="26"/>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row>
    <row r="216" spans="2:78" x14ac:dyDescent="0.25">
      <c r="B216" s="26"/>
      <c r="C216" s="2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row>
    <row r="217" spans="2:78" x14ac:dyDescent="0.25">
      <c r="B217" s="26"/>
      <c r="C217" s="26"/>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row>
    <row r="218" spans="2:78" x14ac:dyDescent="0.25">
      <c r="B218" s="26"/>
      <c r="C218" s="26"/>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row>
    <row r="219" spans="2:78" x14ac:dyDescent="0.25">
      <c r="B219" s="26"/>
      <c r="C219" s="26"/>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row>
    <row r="220" spans="2:78" x14ac:dyDescent="0.25">
      <c r="B220" s="26"/>
      <c r="C220" s="26"/>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row>
    <row r="221" spans="2:78" x14ac:dyDescent="0.25">
      <c r="B221" s="26"/>
      <c r="C221" s="26"/>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row>
    <row r="222" spans="2:78" x14ac:dyDescent="0.25">
      <c r="B222" s="26"/>
      <c r="C222" s="26"/>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row>
    <row r="223" spans="2:78" x14ac:dyDescent="0.25">
      <c r="B223" s="26"/>
      <c r="C223" s="26"/>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row>
    <row r="224" spans="2:78" x14ac:dyDescent="0.25">
      <c r="B224" s="26"/>
      <c r="C224" s="26"/>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row>
    <row r="225" spans="2:78" x14ac:dyDescent="0.25">
      <c r="B225" s="26"/>
      <c r="C225" s="26"/>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row>
    <row r="226" spans="2:78" x14ac:dyDescent="0.25">
      <c r="B226" s="26"/>
      <c r="C226" s="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row>
    <row r="227" spans="2:78" x14ac:dyDescent="0.25">
      <c r="B227" s="26"/>
      <c r="C227" s="26"/>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row>
    <row r="228" spans="2:78" x14ac:dyDescent="0.25">
      <c r="B228" s="26"/>
      <c r="C228" s="26"/>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row>
    <row r="229" spans="2:78" x14ac:dyDescent="0.25">
      <c r="B229" s="26"/>
      <c r="C229" s="26"/>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row>
    <row r="230" spans="2:78" x14ac:dyDescent="0.25">
      <c r="B230" s="26"/>
      <c r="C230" s="26"/>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row>
    <row r="231" spans="2:78" x14ac:dyDescent="0.25">
      <c r="B231" s="26"/>
      <c r="C231" s="26"/>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row>
    <row r="232" spans="2:78" x14ac:dyDescent="0.25">
      <c r="B232" s="26"/>
      <c r="C232" s="26"/>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row>
    <row r="233" spans="2:78" x14ac:dyDescent="0.25">
      <c r="B233" s="26"/>
      <c r="C233" s="26"/>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row>
    <row r="234" spans="2:78" x14ac:dyDescent="0.25">
      <c r="B234" s="26"/>
      <c r="C234" s="26"/>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row>
    <row r="235" spans="2:78" x14ac:dyDescent="0.25">
      <c r="B235" s="26"/>
      <c r="C235" s="26"/>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row>
    <row r="236" spans="2:78" x14ac:dyDescent="0.25">
      <c r="B236" s="26"/>
      <c r="C236" s="2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row>
    <row r="237" spans="2:78" x14ac:dyDescent="0.25">
      <c r="B237" s="26"/>
      <c r="C237" s="26"/>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row>
    <row r="238" spans="2:78" x14ac:dyDescent="0.25">
      <c r="B238" s="26"/>
      <c r="C238" s="26"/>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row>
    <row r="239" spans="2:78" x14ac:dyDescent="0.25">
      <c r="B239" s="26"/>
      <c r="C239" s="26"/>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row>
    <row r="240" spans="2:78" x14ac:dyDescent="0.25">
      <c r="B240" s="26"/>
      <c r="C240" s="26"/>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row>
    <row r="241" spans="2:78" x14ac:dyDescent="0.25">
      <c r="B241" s="26"/>
      <c r="C241" s="26"/>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row>
    <row r="242" spans="2:78" x14ac:dyDescent="0.25">
      <c r="B242" s="26"/>
      <c r="C242" s="26"/>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row>
    <row r="243" spans="2:78" x14ac:dyDescent="0.25">
      <c r="B243" s="26"/>
      <c r="C243" s="26"/>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row>
    <row r="244" spans="2:78" x14ac:dyDescent="0.25">
      <c r="B244" s="26"/>
      <c r="C244" s="26"/>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row>
    <row r="245" spans="2:78" x14ac:dyDescent="0.25">
      <c r="B245" s="26"/>
      <c r="C245" s="26"/>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row>
    <row r="246" spans="2:78" x14ac:dyDescent="0.25">
      <c r="B246" s="26"/>
      <c r="C246" s="2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row>
    <row r="247" spans="2:78" x14ac:dyDescent="0.25">
      <c r="B247" s="26"/>
      <c r="C247" s="26"/>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row>
    <row r="248" spans="2:78" x14ac:dyDescent="0.25">
      <c r="B248" s="26"/>
      <c r="C248" s="26"/>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row>
    <row r="249" spans="2:78" x14ac:dyDescent="0.25">
      <c r="B249" s="26"/>
      <c r="C249" s="26"/>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row>
    <row r="250" spans="2:78" x14ac:dyDescent="0.25">
      <c r="B250" s="26"/>
      <c r="C250" s="26"/>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row>
    <row r="251" spans="2:78" x14ac:dyDescent="0.25">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row>
    <row r="252" spans="2:78" x14ac:dyDescent="0.25">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row>
    <row r="253" spans="2:78" x14ac:dyDescent="0.25">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row>
    <row r="254" spans="2:78" x14ac:dyDescent="0.25">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row>
    <row r="255" spans="2:78" x14ac:dyDescent="0.2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row>
    <row r="256" spans="2:78" x14ac:dyDescent="0.25">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row>
    <row r="257" spans="4:78" x14ac:dyDescent="0.25">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row>
    <row r="258" spans="4:78" x14ac:dyDescent="0.25">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row>
    <row r="259" spans="4:78" x14ac:dyDescent="0.25">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row>
    <row r="260" spans="4:78" x14ac:dyDescent="0.25">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row>
    <row r="261" spans="4:78" x14ac:dyDescent="0.25">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row>
    <row r="262" spans="4:78" x14ac:dyDescent="0.25">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row>
    <row r="263" spans="4:78" x14ac:dyDescent="0.25">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row>
    <row r="264" spans="4:78" x14ac:dyDescent="0.25">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row>
    <row r="265" spans="4:78" x14ac:dyDescent="0.2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row>
    <row r="266" spans="4:78" x14ac:dyDescent="0.25">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row>
    <row r="267" spans="4:78" x14ac:dyDescent="0.25">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row>
    <row r="268" spans="4:78" x14ac:dyDescent="0.25">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row>
    <row r="269" spans="4:78" x14ac:dyDescent="0.25">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row>
    <row r="270" spans="4:78" x14ac:dyDescent="0.25">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row>
    <row r="271" spans="4:78" x14ac:dyDescent="0.25">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row>
    <row r="272" spans="4:78" x14ac:dyDescent="0.25">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row>
    <row r="273" spans="4:78" x14ac:dyDescent="0.25">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row>
    <row r="274" spans="4:78" x14ac:dyDescent="0.25">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row>
    <row r="275" spans="4:78" x14ac:dyDescent="0.2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row>
    <row r="276" spans="4:78" x14ac:dyDescent="0.25">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row>
    <row r="277" spans="4:78" x14ac:dyDescent="0.25">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row>
    <row r="278" spans="4:78" x14ac:dyDescent="0.25">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row>
    <row r="279" spans="4:78" x14ac:dyDescent="0.25">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row>
    <row r="280" spans="4:78" x14ac:dyDescent="0.25">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row>
    <row r="281" spans="4:78" x14ac:dyDescent="0.25">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row>
    <row r="282" spans="4:78" x14ac:dyDescent="0.25">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row>
    <row r="283" spans="4:78" x14ac:dyDescent="0.25">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row>
    <row r="284" spans="4:78" x14ac:dyDescent="0.25">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row>
    <row r="285" spans="4:78" x14ac:dyDescent="0.2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row>
    <row r="286" spans="4:78" x14ac:dyDescent="0.25">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row>
    <row r="287" spans="4:78" x14ac:dyDescent="0.25">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row>
    <row r="288" spans="4:78" x14ac:dyDescent="0.25">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row>
    <row r="289" spans="4:78" x14ac:dyDescent="0.25">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row>
    <row r="290" spans="4:78" x14ac:dyDescent="0.25">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row>
    <row r="291" spans="4:78" x14ac:dyDescent="0.25">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row>
    <row r="292" spans="4:78" x14ac:dyDescent="0.25">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row>
    <row r="293" spans="4:78" x14ac:dyDescent="0.25">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row>
    <row r="294" spans="4:78" x14ac:dyDescent="0.25">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row>
    <row r="295" spans="4:78" x14ac:dyDescent="0.2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row>
    <row r="296" spans="4:78" x14ac:dyDescent="0.25">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row>
    <row r="297" spans="4:78" x14ac:dyDescent="0.25">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row>
    <row r="298" spans="4:78" x14ac:dyDescent="0.25">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row>
    <row r="299" spans="4:78" x14ac:dyDescent="0.25">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row>
    <row r="300" spans="4:78" x14ac:dyDescent="0.25">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row>
    <row r="301" spans="4:78" x14ac:dyDescent="0.25">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row>
    <row r="302" spans="4:78" x14ac:dyDescent="0.25">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row>
    <row r="303" spans="4:78" x14ac:dyDescent="0.25">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row>
    <row r="304" spans="4:78" x14ac:dyDescent="0.25">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row>
    <row r="305" spans="4:78" x14ac:dyDescent="0.2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row>
    <row r="306" spans="4:78" x14ac:dyDescent="0.25">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row>
    <row r="307" spans="4:78" x14ac:dyDescent="0.25">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row>
    <row r="308" spans="4:78" x14ac:dyDescent="0.25">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row>
    <row r="309" spans="4:78" x14ac:dyDescent="0.25">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row>
    <row r="310" spans="4:78" x14ac:dyDescent="0.25">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row>
    <row r="311" spans="4:78" x14ac:dyDescent="0.25">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row>
    <row r="312" spans="4:78" x14ac:dyDescent="0.25">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row>
    <row r="313" spans="4:78" x14ac:dyDescent="0.25">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row>
    <row r="314" spans="4:78" x14ac:dyDescent="0.25">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row>
    <row r="315" spans="4:78" x14ac:dyDescent="0.2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row>
    <row r="316" spans="4:78" x14ac:dyDescent="0.25">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row>
    <row r="317" spans="4:78" x14ac:dyDescent="0.25">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row>
    <row r="318" spans="4:78" x14ac:dyDescent="0.25">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row>
    <row r="319" spans="4:78" x14ac:dyDescent="0.25">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row>
    <row r="320" spans="4:78" x14ac:dyDescent="0.25">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row>
    <row r="321" spans="4:78" x14ac:dyDescent="0.25">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row>
    <row r="322" spans="4:78" x14ac:dyDescent="0.25">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row>
    <row r="323" spans="4:78" x14ac:dyDescent="0.25">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row>
    <row r="324" spans="4:78" x14ac:dyDescent="0.25">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row>
    <row r="325" spans="4:78" x14ac:dyDescent="0.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row>
    <row r="326" spans="4:78" x14ac:dyDescent="0.25">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row>
    <row r="327" spans="4:78" x14ac:dyDescent="0.25">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row>
    <row r="328" spans="4:78" x14ac:dyDescent="0.25">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row>
    <row r="329" spans="4:78" x14ac:dyDescent="0.25">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row>
    <row r="330" spans="4:78" x14ac:dyDescent="0.25">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row>
    <row r="331" spans="4:78" x14ac:dyDescent="0.25">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row>
    <row r="332" spans="4:78" x14ac:dyDescent="0.25">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row>
    <row r="333" spans="4:78" x14ac:dyDescent="0.25">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row>
    <row r="334" spans="4:78" x14ac:dyDescent="0.25">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row>
    <row r="335" spans="4:78" x14ac:dyDescent="0.2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row>
    <row r="336" spans="4:78" x14ac:dyDescent="0.25">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row>
    <row r="337" spans="4:78" x14ac:dyDescent="0.25">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row>
    <row r="338" spans="4:78" x14ac:dyDescent="0.25">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row>
    <row r="339" spans="4:78" x14ac:dyDescent="0.25">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row>
    <row r="340" spans="4:78" x14ac:dyDescent="0.25">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row>
    <row r="341" spans="4:78" x14ac:dyDescent="0.25">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row>
    <row r="342" spans="4:78" x14ac:dyDescent="0.25">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row>
    <row r="343" spans="4:78" x14ac:dyDescent="0.25">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row>
    <row r="344" spans="4:78" x14ac:dyDescent="0.25">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row>
    <row r="345" spans="4:78" x14ac:dyDescent="0.2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row>
    <row r="346" spans="4:78" x14ac:dyDescent="0.25">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row>
    <row r="347" spans="4:78" x14ac:dyDescent="0.25">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row>
    <row r="348" spans="4:78" x14ac:dyDescent="0.25">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row>
    <row r="349" spans="4:78" x14ac:dyDescent="0.25">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row>
    <row r="350" spans="4:78" x14ac:dyDescent="0.25">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row>
    <row r="351" spans="4:78" x14ac:dyDescent="0.25">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row>
    <row r="352" spans="4:78" x14ac:dyDescent="0.25">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row>
    <row r="353" spans="4:78" x14ac:dyDescent="0.25">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row>
    <row r="354" spans="4:78" x14ac:dyDescent="0.25">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row>
    <row r="355" spans="4:78" x14ac:dyDescent="0.2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row>
    <row r="356" spans="4:78" x14ac:dyDescent="0.25">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row>
    <row r="357" spans="4:78" x14ac:dyDescent="0.25">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row>
    <row r="358" spans="4:78" x14ac:dyDescent="0.25">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row>
    <row r="359" spans="4:78" x14ac:dyDescent="0.25">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row>
    <row r="360" spans="4:78" x14ac:dyDescent="0.25">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row>
    <row r="361" spans="4:78" x14ac:dyDescent="0.25">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row>
    <row r="362" spans="4:78" x14ac:dyDescent="0.25">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row>
    <row r="363" spans="4:78" x14ac:dyDescent="0.25">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row>
    <row r="364" spans="4:78" x14ac:dyDescent="0.25">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row>
    <row r="365" spans="4:78" x14ac:dyDescent="0.2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row>
    <row r="366" spans="4:78" x14ac:dyDescent="0.25">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row>
    <row r="367" spans="4:78" x14ac:dyDescent="0.25">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row>
    <row r="368" spans="4:78" x14ac:dyDescent="0.25">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row>
    <row r="369" spans="4:78" x14ac:dyDescent="0.25">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row>
    <row r="370" spans="4:78" x14ac:dyDescent="0.25">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row>
    <row r="371" spans="4:78" x14ac:dyDescent="0.25">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row>
    <row r="372" spans="4:78" x14ac:dyDescent="0.25">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row>
    <row r="373" spans="4:78" x14ac:dyDescent="0.25">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row>
    <row r="374" spans="4:78" x14ac:dyDescent="0.25">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row>
    <row r="375" spans="4:78" x14ac:dyDescent="0.2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row>
    <row r="376" spans="4:78" x14ac:dyDescent="0.25">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row>
    <row r="377" spans="4:78" x14ac:dyDescent="0.25">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row>
    <row r="378" spans="4:78" x14ac:dyDescent="0.25">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row>
    <row r="379" spans="4:78" x14ac:dyDescent="0.25">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row>
    <row r="380" spans="4:78" x14ac:dyDescent="0.25">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row>
    <row r="381" spans="4:78" x14ac:dyDescent="0.25">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row>
    <row r="382" spans="4:78" x14ac:dyDescent="0.25">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row>
    <row r="383" spans="4:78" x14ac:dyDescent="0.25">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row>
    <row r="384" spans="4:78" x14ac:dyDescent="0.25">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row>
    <row r="385" spans="4:78" x14ac:dyDescent="0.2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row>
    <row r="386" spans="4:78" x14ac:dyDescent="0.25">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row>
    <row r="387" spans="4:78" x14ac:dyDescent="0.25">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row>
    <row r="388" spans="4:78" x14ac:dyDescent="0.25">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row>
    <row r="389" spans="4:78" x14ac:dyDescent="0.25">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row>
    <row r="390" spans="4:78" x14ac:dyDescent="0.25">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row>
    <row r="391" spans="4:78" x14ac:dyDescent="0.25">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row>
    <row r="392" spans="4:78" x14ac:dyDescent="0.25">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row>
    <row r="393" spans="4:78" x14ac:dyDescent="0.25">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row>
    <row r="394" spans="4:78" x14ac:dyDescent="0.25">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row>
    <row r="395" spans="4:78" x14ac:dyDescent="0.2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row>
    <row r="396" spans="4:78" x14ac:dyDescent="0.25">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row>
    <row r="397" spans="4:78" x14ac:dyDescent="0.25">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row>
    <row r="398" spans="4:78" x14ac:dyDescent="0.25">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row>
    <row r="399" spans="4:78" x14ac:dyDescent="0.25">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row>
    <row r="400" spans="4:78" x14ac:dyDescent="0.25">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row>
    <row r="401" spans="4:78" x14ac:dyDescent="0.25">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row>
    <row r="402" spans="4:78" x14ac:dyDescent="0.25">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row>
    <row r="403" spans="4:78" x14ac:dyDescent="0.25">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row>
    <row r="404" spans="4:78" x14ac:dyDescent="0.25">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row>
    <row r="405" spans="4:78" x14ac:dyDescent="0.2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row>
    <row r="406" spans="4:78" x14ac:dyDescent="0.25">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row>
    <row r="407" spans="4:78" x14ac:dyDescent="0.25">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row>
    <row r="408" spans="4:78" x14ac:dyDescent="0.25">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row>
    <row r="409" spans="4:78" x14ac:dyDescent="0.25">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row>
    <row r="410" spans="4:78" x14ac:dyDescent="0.25">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row>
    <row r="411" spans="4:78" x14ac:dyDescent="0.25">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row>
    <row r="412" spans="4:78" x14ac:dyDescent="0.25">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row>
    <row r="413" spans="4:78" x14ac:dyDescent="0.25">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row>
    <row r="414" spans="4:78" x14ac:dyDescent="0.25">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row>
    <row r="415" spans="4:78" x14ac:dyDescent="0.2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row>
    <row r="416" spans="4:78" x14ac:dyDescent="0.25">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row>
    <row r="417" spans="4:78" x14ac:dyDescent="0.25">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row>
    <row r="418" spans="4:78" x14ac:dyDescent="0.25">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row>
    <row r="419" spans="4:78" x14ac:dyDescent="0.25">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row>
    <row r="420" spans="4:78" x14ac:dyDescent="0.25">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row>
    <row r="421" spans="4:78" x14ac:dyDescent="0.25">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row>
    <row r="422" spans="4:78" x14ac:dyDescent="0.25">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row>
    <row r="423" spans="4:78" x14ac:dyDescent="0.25">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row>
    <row r="424" spans="4:78" x14ac:dyDescent="0.25">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row>
    <row r="425" spans="4:78" x14ac:dyDescent="0.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row>
    <row r="426" spans="4:78" x14ac:dyDescent="0.25">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row>
    <row r="427" spans="4:78" x14ac:dyDescent="0.25">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row>
    <row r="428" spans="4:78" x14ac:dyDescent="0.25">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row>
    <row r="429" spans="4:78" x14ac:dyDescent="0.25">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row>
    <row r="430" spans="4:78" x14ac:dyDescent="0.25">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row>
    <row r="431" spans="4:78" x14ac:dyDescent="0.25">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row>
    <row r="432" spans="4:78" x14ac:dyDescent="0.25">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row>
    <row r="433" spans="4:78" x14ac:dyDescent="0.25">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row>
    <row r="434" spans="4:78" x14ac:dyDescent="0.25">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row>
    <row r="435" spans="4:78" x14ac:dyDescent="0.2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row>
    <row r="436" spans="4:78" x14ac:dyDescent="0.25">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row>
    <row r="437" spans="4:78" x14ac:dyDescent="0.25">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row>
    <row r="438" spans="4:78" x14ac:dyDescent="0.25">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row>
    <row r="439" spans="4:78" x14ac:dyDescent="0.25">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row>
    <row r="440" spans="4:78" x14ac:dyDescent="0.25">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row>
    <row r="441" spans="4:78" x14ac:dyDescent="0.25">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row>
    <row r="442" spans="4:78" x14ac:dyDescent="0.25">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row>
    <row r="443" spans="4:78" x14ac:dyDescent="0.25">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row>
    <row r="444" spans="4:78" x14ac:dyDescent="0.25">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row>
    <row r="445" spans="4:78" x14ac:dyDescent="0.2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row>
    <row r="446" spans="4:78" x14ac:dyDescent="0.25">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row>
    <row r="447" spans="4:78" x14ac:dyDescent="0.25">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row>
    <row r="448" spans="4:78" x14ac:dyDescent="0.25">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row>
    <row r="449" spans="4:78" x14ac:dyDescent="0.25">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row>
    <row r="450" spans="4:78" x14ac:dyDescent="0.25">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row>
    <row r="451" spans="4:78" x14ac:dyDescent="0.25">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row>
    <row r="452" spans="4:78" x14ac:dyDescent="0.25">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row>
    <row r="453" spans="4:78" x14ac:dyDescent="0.25">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row>
    <row r="454" spans="4:78" x14ac:dyDescent="0.25">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row>
    <row r="455" spans="4:78" x14ac:dyDescent="0.2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row>
    <row r="456" spans="4:78" x14ac:dyDescent="0.25">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row>
    <row r="457" spans="4:78" x14ac:dyDescent="0.25">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row>
    <row r="458" spans="4:78" x14ac:dyDescent="0.25">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row>
    <row r="459" spans="4:78" x14ac:dyDescent="0.25">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row>
    <row r="460" spans="4:78" x14ac:dyDescent="0.25">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row>
    <row r="461" spans="4:78" x14ac:dyDescent="0.25">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row>
    <row r="462" spans="4:78" x14ac:dyDescent="0.25">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row>
    <row r="463" spans="4:78" x14ac:dyDescent="0.25">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row>
    <row r="464" spans="4:78" x14ac:dyDescent="0.25">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row>
    <row r="465" spans="4:78" x14ac:dyDescent="0.2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row>
    <row r="466" spans="4:78" x14ac:dyDescent="0.25">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row>
    <row r="467" spans="4:78" x14ac:dyDescent="0.25">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row>
    <row r="468" spans="4:78" x14ac:dyDescent="0.25">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row>
    <row r="469" spans="4:78" x14ac:dyDescent="0.25">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row>
    <row r="470" spans="4:78" x14ac:dyDescent="0.25">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row>
    <row r="471" spans="4:78" x14ac:dyDescent="0.25">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row>
    <row r="472" spans="4:78" x14ac:dyDescent="0.25">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row>
    <row r="473" spans="4:78" x14ac:dyDescent="0.25">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row>
    <row r="474" spans="4:78" x14ac:dyDescent="0.25">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row>
    <row r="475" spans="4:78" x14ac:dyDescent="0.2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row>
    <row r="476" spans="4:78" x14ac:dyDescent="0.25">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row>
    <row r="477" spans="4:78" x14ac:dyDescent="0.25">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row>
    <row r="478" spans="4:78" x14ac:dyDescent="0.25">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row>
    <row r="479" spans="4:78" x14ac:dyDescent="0.25">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row>
    <row r="480" spans="4:78" x14ac:dyDescent="0.25">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row>
    <row r="481" spans="4:78" x14ac:dyDescent="0.25">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row>
    <row r="482" spans="4:78" x14ac:dyDescent="0.25">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row>
    <row r="483" spans="4:78" x14ac:dyDescent="0.25">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row>
    <row r="484" spans="4:78" x14ac:dyDescent="0.25">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row>
    <row r="485" spans="4:78" x14ac:dyDescent="0.2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row>
    <row r="486" spans="4:78" x14ac:dyDescent="0.25">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row>
    <row r="487" spans="4:78" x14ac:dyDescent="0.25">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row>
    <row r="488" spans="4:78" x14ac:dyDescent="0.25">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row>
    <row r="489" spans="4:78" x14ac:dyDescent="0.25">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row>
    <row r="490" spans="4:78" x14ac:dyDescent="0.25">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row>
    <row r="491" spans="4:78" x14ac:dyDescent="0.25">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row>
    <row r="492" spans="4:78" x14ac:dyDescent="0.25">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row>
    <row r="493" spans="4:78" x14ac:dyDescent="0.25">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row>
    <row r="494" spans="4:78" x14ac:dyDescent="0.25">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row>
    <row r="495" spans="4:78" x14ac:dyDescent="0.2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row>
    <row r="496" spans="4:78" x14ac:dyDescent="0.25">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row>
    <row r="497" spans="4:78" x14ac:dyDescent="0.25">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row>
    <row r="498" spans="4:78" x14ac:dyDescent="0.25">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row>
    <row r="499" spans="4:78" x14ac:dyDescent="0.25">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row>
    <row r="500" spans="4:78" x14ac:dyDescent="0.25">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row>
    <row r="501" spans="4:78" x14ac:dyDescent="0.25">
      <c r="D501"/>
      <c r="E501"/>
      <c r="F501"/>
      <c r="G501"/>
      <c r="H501"/>
      <c r="I501"/>
      <c r="J501"/>
      <c r="K501"/>
      <c r="L501"/>
      <c r="M501"/>
      <c r="N501"/>
      <c r="O501"/>
      <c r="P501"/>
      <c r="Q501"/>
      <c r="R50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c r="BA501"/>
      <c r="BB501"/>
      <c r="BC501"/>
      <c r="BD501"/>
      <c r="BE501"/>
      <c r="BF501"/>
      <c r="BG501"/>
      <c r="BH501"/>
      <c r="BI501"/>
      <c r="BJ501"/>
      <c r="BK501"/>
      <c r="BL501"/>
      <c r="BM501"/>
      <c r="BN501"/>
      <c r="BO501"/>
      <c r="BP501"/>
      <c r="BQ501"/>
      <c r="BR501"/>
      <c r="BS501"/>
      <c r="BT501"/>
      <c r="BU501"/>
      <c r="BV501"/>
      <c r="BW501"/>
      <c r="BX501"/>
      <c r="BY501"/>
      <c r="BZ501"/>
    </row>
    <row r="502" spans="4:78" x14ac:dyDescent="0.25">
      <c r="D502"/>
      <c r="E502"/>
      <c r="F502"/>
      <c r="G502"/>
      <c r="H502"/>
      <c r="I502"/>
      <c r="J502"/>
      <c r="K502"/>
      <c r="L502"/>
      <c r="M502"/>
      <c r="N502"/>
      <c r="O502"/>
      <c r="P502"/>
      <c r="Q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c r="BA502"/>
      <c r="BB502"/>
      <c r="BC502"/>
      <c r="BD502"/>
      <c r="BE502"/>
      <c r="BF502"/>
      <c r="BG502"/>
      <c r="BH502"/>
      <c r="BI502"/>
      <c r="BJ502"/>
      <c r="BK502"/>
      <c r="BL502"/>
      <c r="BM502"/>
      <c r="BN502"/>
      <c r="BO502"/>
      <c r="BP502"/>
      <c r="BQ502"/>
      <c r="BR502"/>
      <c r="BS502"/>
      <c r="BT502"/>
      <c r="BU502"/>
      <c r="BV502"/>
      <c r="BW502"/>
      <c r="BX502"/>
      <c r="BY502"/>
      <c r="BZ502"/>
    </row>
    <row r="503" spans="4:78" x14ac:dyDescent="0.25">
      <c r="D503"/>
      <c r="E503"/>
      <c r="F503"/>
      <c r="G503"/>
      <c r="H503"/>
      <c r="I503"/>
      <c r="J503"/>
      <c r="K503"/>
      <c r="L503"/>
      <c r="M503"/>
      <c r="N503"/>
      <c r="O503"/>
      <c r="P503"/>
      <c r="Q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c r="BA503"/>
      <c r="BB503"/>
      <c r="BC503"/>
      <c r="BD503"/>
      <c r="BE503"/>
      <c r="BF503"/>
      <c r="BG503"/>
      <c r="BH503"/>
      <c r="BI503"/>
      <c r="BJ503"/>
      <c r="BK503"/>
      <c r="BL503"/>
      <c r="BM503"/>
      <c r="BN503"/>
      <c r="BO503"/>
      <c r="BP503"/>
      <c r="BQ503"/>
      <c r="BR503"/>
      <c r="BS503"/>
      <c r="BT503"/>
      <c r="BU503"/>
      <c r="BV503"/>
      <c r="BW503"/>
      <c r="BX503"/>
      <c r="BY503"/>
      <c r="BZ503"/>
    </row>
    <row r="504" spans="4:78" x14ac:dyDescent="0.25">
      <c r="D504"/>
      <c r="E504"/>
      <c r="F504"/>
      <c r="G504"/>
      <c r="H504"/>
      <c r="I504"/>
      <c r="J504"/>
      <c r="K504"/>
      <c r="L504"/>
      <c r="M504"/>
      <c r="N504"/>
      <c r="O504"/>
      <c r="P504"/>
      <c r="Q504"/>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c r="BA504"/>
      <c r="BB504"/>
      <c r="BC504"/>
      <c r="BD504"/>
      <c r="BE504"/>
      <c r="BF504"/>
      <c r="BG504"/>
      <c r="BH504"/>
      <c r="BI504"/>
      <c r="BJ504"/>
      <c r="BK504"/>
      <c r="BL504"/>
      <c r="BM504"/>
      <c r="BN504"/>
      <c r="BO504"/>
      <c r="BP504"/>
      <c r="BQ504"/>
      <c r="BR504"/>
      <c r="BS504"/>
      <c r="BT504"/>
      <c r="BU504"/>
      <c r="BV504"/>
      <c r="BW504"/>
      <c r="BX504"/>
      <c r="BY504"/>
      <c r="BZ504"/>
    </row>
    <row r="505" spans="4:78" x14ac:dyDescent="0.25">
      <c r="D505"/>
      <c r="E505"/>
      <c r="F505"/>
      <c r="G505"/>
      <c r="H505"/>
      <c r="I505"/>
      <c r="J505"/>
      <c r="K505"/>
      <c r="L505"/>
      <c r="M505"/>
      <c r="N505"/>
      <c r="O505"/>
      <c r="P505"/>
      <c r="Q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c r="BA505"/>
      <c r="BB505"/>
      <c r="BC505"/>
      <c r="BD505"/>
      <c r="BE505"/>
      <c r="BF505"/>
      <c r="BG505"/>
      <c r="BH505"/>
      <c r="BI505"/>
      <c r="BJ505"/>
      <c r="BK505"/>
      <c r="BL505"/>
      <c r="BM505"/>
      <c r="BN505"/>
      <c r="BO505"/>
      <c r="BP505"/>
      <c r="BQ505"/>
      <c r="BR505"/>
      <c r="BS505"/>
      <c r="BT505"/>
      <c r="BU505"/>
      <c r="BV505"/>
      <c r="BW505"/>
      <c r="BX505"/>
      <c r="BY505"/>
      <c r="BZ505"/>
    </row>
    <row r="506" spans="4:78" x14ac:dyDescent="0.25">
      <c r="D506"/>
      <c r="E506"/>
      <c r="F506"/>
      <c r="G506"/>
      <c r="H506"/>
      <c r="I506"/>
      <c r="J506"/>
      <c r="K506"/>
      <c r="L506"/>
      <c r="M506"/>
      <c r="N506"/>
      <c r="O506"/>
      <c r="P506"/>
      <c r="Q506"/>
      <c r="R506"/>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c r="BA506"/>
      <c r="BB506"/>
      <c r="BC506"/>
      <c r="BD506"/>
      <c r="BE506"/>
      <c r="BF506"/>
      <c r="BG506"/>
      <c r="BH506"/>
      <c r="BI506"/>
      <c r="BJ506"/>
      <c r="BK506"/>
      <c r="BL506"/>
      <c r="BM506"/>
      <c r="BN506"/>
      <c r="BO506"/>
      <c r="BP506"/>
      <c r="BQ506"/>
      <c r="BR506"/>
      <c r="BS506"/>
      <c r="BT506"/>
      <c r="BU506"/>
      <c r="BV506"/>
      <c r="BW506"/>
      <c r="BX506"/>
      <c r="BY506"/>
      <c r="BZ506"/>
    </row>
    <row r="507" spans="4:78" x14ac:dyDescent="0.25">
      <c r="D507"/>
      <c r="E507"/>
      <c r="F507"/>
      <c r="G507"/>
      <c r="H507"/>
      <c r="I507"/>
      <c r="J507"/>
      <c r="K507"/>
      <c r="L507"/>
      <c r="M507"/>
      <c r="N507"/>
      <c r="O507"/>
      <c r="P507"/>
      <c r="Q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c r="BA507"/>
      <c r="BB507"/>
      <c r="BC507"/>
      <c r="BD507"/>
      <c r="BE507"/>
      <c r="BF507"/>
      <c r="BG507"/>
      <c r="BH507"/>
      <c r="BI507"/>
      <c r="BJ507"/>
      <c r="BK507"/>
      <c r="BL507"/>
      <c r="BM507"/>
      <c r="BN507"/>
      <c r="BO507"/>
      <c r="BP507"/>
      <c r="BQ507"/>
      <c r="BR507"/>
      <c r="BS507"/>
      <c r="BT507"/>
      <c r="BU507"/>
      <c r="BV507"/>
      <c r="BW507"/>
      <c r="BX507"/>
      <c r="BY507"/>
      <c r="BZ507"/>
    </row>
    <row r="508" spans="4:78" x14ac:dyDescent="0.25">
      <c r="D508"/>
      <c r="E508"/>
      <c r="F508"/>
      <c r="G508"/>
      <c r="H508"/>
      <c r="I508"/>
      <c r="J508"/>
      <c r="K508"/>
      <c r="L508"/>
      <c r="M508"/>
      <c r="N508"/>
      <c r="O508"/>
      <c r="P508"/>
      <c r="Q508"/>
      <c r="R508"/>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c r="BA508"/>
      <c r="BB508"/>
      <c r="BC508"/>
      <c r="BD508"/>
      <c r="BE508"/>
      <c r="BF508"/>
      <c r="BG508"/>
      <c r="BH508"/>
      <c r="BI508"/>
      <c r="BJ508"/>
      <c r="BK508"/>
      <c r="BL508"/>
      <c r="BM508"/>
      <c r="BN508"/>
      <c r="BO508"/>
      <c r="BP508"/>
      <c r="BQ508"/>
      <c r="BR508"/>
      <c r="BS508"/>
      <c r="BT508"/>
      <c r="BU508"/>
      <c r="BV508"/>
      <c r="BW508"/>
      <c r="BX508"/>
      <c r="BY508"/>
      <c r="BZ508"/>
    </row>
    <row r="509" spans="4:78" x14ac:dyDescent="0.25">
      <c r="D509"/>
      <c r="E509"/>
      <c r="F509"/>
      <c r="G509"/>
      <c r="H509"/>
      <c r="I509"/>
      <c r="J509"/>
      <c r="K509"/>
      <c r="L509"/>
      <c r="M509"/>
      <c r="N509"/>
      <c r="O509"/>
      <c r="P509"/>
      <c r="Q509"/>
      <c r="R509"/>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c r="BA509"/>
      <c r="BB509"/>
      <c r="BC509"/>
      <c r="BD509"/>
      <c r="BE509"/>
      <c r="BF509"/>
      <c r="BG509"/>
      <c r="BH509"/>
      <c r="BI509"/>
      <c r="BJ509"/>
      <c r="BK509"/>
      <c r="BL509"/>
      <c r="BM509"/>
      <c r="BN509"/>
      <c r="BO509"/>
      <c r="BP509"/>
      <c r="BQ509"/>
      <c r="BR509"/>
      <c r="BS509"/>
      <c r="BT509"/>
      <c r="BU509"/>
      <c r="BV509"/>
      <c r="BW509"/>
      <c r="BX509"/>
      <c r="BY509"/>
      <c r="BZ509"/>
    </row>
    <row r="510" spans="4:78" x14ac:dyDescent="0.25">
      <c r="D510"/>
      <c r="E510"/>
      <c r="F510"/>
      <c r="G510"/>
      <c r="H510"/>
      <c r="I510"/>
      <c r="J510"/>
      <c r="K510"/>
      <c r="L510"/>
      <c r="M510"/>
      <c r="N510"/>
      <c r="O510"/>
      <c r="P510"/>
      <c r="Q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c r="BA510"/>
      <c r="BB510"/>
      <c r="BC510"/>
      <c r="BD510"/>
      <c r="BE510"/>
      <c r="BF510"/>
      <c r="BG510"/>
      <c r="BH510"/>
      <c r="BI510"/>
      <c r="BJ510"/>
      <c r="BK510"/>
      <c r="BL510"/>
      <c r="BM510"/>
      <c r="BN510"/>
      <c r="BO510"/>
      <c r="BP510"/>
      <c r="BQ510"/>
      <c r="BR510"/>
      <c r="BS510"/>
      <c r="BT510"/>
      <c r="BU510"/>
      <c r="BV510"/>
      <c r="BW510"/>
      <c r="BX510"/>
      <c r="BY510"/>
      <c r="BZ510"/>
    </row>
    <row r="511" spans="4:78" x14ac:dyDescent="0.25">
      <c r="D511"/>
      <c r="E511"/>
      <c r="F511"/>
      <c r="G511"/>
      <c r="H511"/>
      <c r="I511"/>
      <c r="J511"/>
      <c r="K511"/>
      <c r="L511"/>
      <c r="M511"/>
      <c r="N511"/>
      <c r="O511"/>
      <c r="P511"/>
      <c r="Q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c r="BA511"/>
      <c r="BB511"/>
      <c r="BC511"/>
      <c r="BD511"/>
      <c r="BE511"/>
      <c r="BF511"/>
      <c r="BG511"/>
      <c r="BH511"/>
      <c r="BI511"/>
      <c r="BJ511"/>
      <c r="BK511"/>
      <c r="BL511"/>
      <c r="BM511"/>
      <c r="BN511"/>
      <c r="BO511"/>
      <c r="BP511"/>
      <c r="BQ511"/>
      <c r="BR511"/>
      <c r="BS511"/>
      <c r="BT511"/>
      <c r="BU511"/>
      <c r="BV511"/>
      <c r="BW511"/>
      <c r="BX511"/>
      <c r="BY511"/>
      <c r="BZ511"/>
    </row>
    <row r="512" spans="4:78" x14ac:dyDescent="0.25">
      <c r="D512"/>
      <c r="E512"/>
      <c r="F512"/>
      <c r="G512"/>
      <c r="H512"/>
      <c r="I512"/>
      <c r="J512"/>
      <c r="K512"/>
      <c r="L512"/>
      <c r="M512"/>
      <c r="N512"/>
      <c r="O512"/>
      <c r="P512"/>
      <c r="Q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c r="BA512"/>
      <c r="BB512"/>
      <c r="BC512"/>
      <c r="BD512"/>
      <c r="BE512"/>
      <c r="BF512"/>
      <c r="BG512"/>
      <c r="BH512"/>
      <c r="BI512"/>
      <c r="BJ512"/>
      <c r="BK512"/>
      <c r="BL512"/>
      <c r="BM512"/>
      <c r="BN512"/>
      <c r="BO512"/>
      <c r="BP512"/>
      <c r="BQ512"/>
      <c r="BR512"/>
      <c r="BS512"/>
      <c r="BT512"/>
      <c r="BU512"/>
      <c r="BV512"/>
      <c r="BW512"/>
      <c r="BX512"/>
      <c r="BY512"/>
      <c r="BZ512"/>
    </row>
    <row r="513" spans="4:78" x14ac:dyDescent="0.25">
      <c r="D513"/>
      <c r="E513"/>
      <c r="F513"/>
      <c r="G513"/>
      <c r="H513"/>
      <c r="I513"/>
      <c r="J513"/>
      <c r="K513"/>
      <c r="L513"/>
      <c r="M513"/>
      <c r="N513"/>
      <c r="O513"/>
      <c r="P513"/>
      <c r="Q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c r="BA513"/>
      <c r="BB513"/>
      <c r="BC513"/>
      <c r="BD513"/>
      <c r="BE513"/>
      <c r="BF513"/>
      <c r="BG513"/>
      <c r="BH513"/>
      <c r="BI513"/>
      <c r="BJ513"/>
      <c r="BK513"/>
      <c r="BL513"/>
      <c r="BM513"/>
      <c r="BN513"/>
      <c r="BO513"/>
      <c r="BP513"/>
      <c r="BQ513"/>
      <c r="BR513"/>
      <c r="BS513"/>
      <c r="BT513"/>
      <c r="BU513"/>
      <c r="BV513"/>
      <c r="BW513"/>
      <c r="BX513"/>
      <c r="BY513"/>
      <c r="BZ513"/>
    </row>
    <row r="514" spans="4:78" x14ac:dyDescent="0.25">
      <c r="D514"/>
      <c r="E514"/>
      <c r="F514"/>
      <c r="G514"/>
      <c r="H514"/>
      <c r="I514"/>
      <c r="J514"/>
      <c r="K514"/>
      <c r="L514"/>
      <c r="M514"/>
      <c r="N514"/>
      <c r="O514"/>
      <c r="P514"/>
      <c r="Q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c r="BA514"/>
      <c r="BB514"/>
      <c r="BC514"/>
      <c r="BD514"/>
      <c r="BE514"/>
      <c r="BF514"/>
      <c r="BG514"/>
      <c r="BH514"/>
      <c r="BI514"/>
      <c r="BJ514"/>
      <c r="BK514"/>
      <c r="BL514"/>
      <c r="BM514"/>
      <c r="BN514"/>
      <c r="BO514"/>
      <c r="BP514"/>
      <c r="BQ514"/>
      <c r="BR514"/>
      <c r="BS514"/>
      <c r="BT514"/>
      <c r="BU514"/>
      <c r="BV514"/>
      <c r="BW514"/>
      <c r="BX514"/>
      <c r="BY514"/>
      <c r="BZ514"/>
    </row>
    <row r="515" spans="4:78" x14ac:dyDescent="0.25">
      <c r="D515"/>
      <c r="E515"/>
      <c r="F515"/>
      <c r="G515"/>
      <c r="H515"/>
      <c r="I515"/>
      <c r="J515"/>
      <c r="K515"/>
      <c r="L515"/>
      <c r="M515"/>
      <c r="N515"/>
      <c r="O515"/>
      <c r="P515"/>
      <c r="Q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c r="BA515"/>
      <c r="BB515"/>
      <c r="BC515"/>
      <c r="BD515"/>
      <c r="BE515"/>
      <c r="BF515"/>
      <c r="BG515"/>
      <c r="BH515"/>
      <c r="BI515"/>
      <c r="BJ515"/>
      <c r="BK515"/>
      <c r="BL515"/>
      <c r="BM515"/>
      <c r="BN515"/>
      <c r="BO515"/>
      <c r="BP515"/>
      <c r="BQ515"/>
      <c r="BR515"/>
      <c r="BS515"/>
      <c r="BT515"/>
      <c r="BU515"/>
      <c r="BV515"/>
      <c r="BW515"/>
      <c r="BX515"/>
      <c r="BY515"/>
      <c r="BZ515"/>
    </row>
    <row r="516" spans="4:78" x14ac:dyDescent="0.25">
      <c r="D516"/>
      <c r="E516"/>
      <c r="F516"/>
      <c r="G516"/>
      <c r="H516"/>
      <c r="I516"/>
      <c r="J516"/>
      <c r="K516"/>
      <c r="L516"/>
      <c r="M516"/>
      <c r="N516"/>
      <c r="O516"/>
      <c r="P516"/>
      <c r="Q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c r="BA516"/>
      <c r="BB516"/>
      <c r="BC516"/>
      <c r="BD516"/>
      <c r="BE516"/>
      <c r="BF516"/>
      <c r="BG516"/>
      <c r="BH516"/>
      <c r="BI516"/>
      <c r="BJ516"/>
      <c r="BK516"/>
      <c r="BL516"/>
      <c r="BM516"/>
      <c r="BN516"/>
      <c r="BO516"/>
      <c r="BP516"/>
      <c r="BQ516"/>
      <c r="BR516"/>
      <c r="BS516"/>
      <c r="BT516"/>
      <c r="BU516"/>
      <c r="BV516"/>
      <c r="BW516"/>
      <c r="BX516"/>
      <c r="BY516"/>
      <c r="BZ516"/>
    </row>
    <row r="517" spans="4:78" x14ac:dyDescent="0.25">
      <c r="D517"/>
      <c r="E517"/>
      <c r="F517"/>
      <c r="G517"/>
      <c r="H517"/>
      <c r="I517"/>
      <c r="J517"/>
      <c r="K517"/>
      <c r="L517"/>
      <c r="M517"/>
      <c r="N517"/>
      <c r="O517"/>
      <c r="P517"/>
      <c r="Q517"/>
      <c r="R517"/>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c r="BA517"/>
      <c r="BB517"/>
      <c r="BC517"/>
      <c r="BD517"/>
      <c r="BE517"/>
      <c r="BF517"/>
      <c r="BG517"/>
      <c r="BH517"/>
      <c r="BI517"/>
      <c r="BJ517"/>
      <c r="BK517"/>
      <c r="BL517"/>
      <c r="BM517"/>
      <c r="BN517"/>
      <c r="BO517"/>
      <c r="BP517"/>
      <c r="BQ517"/>
      <c r="BR517"/>
      <c r="BS517"/>
      <c r="BT517"/>
      <c r="BU517"/>
      <c r="BV517"/>
      <c r="BW517"/>
      <c r="BX517"/>
      <c r="BY517"/>
      <c r="BZ517"/>
    </row>
    <row r="518" spans="4:78" x14ac:dyDescent="0.25">
      <c r="D518"/>
      <c r="E518"/>
      <c r="F518"/>
      <c r="G518"/>
      <c r="H518"/>
      <c r="I518"/>
      <c r="J518"/>
      <c r="K518"/>
      <c r="L518"/>
      <c r="M518"/>
      <c r="N518"/>
      <c r="O518"/>
      <c r="P518"/>
      <c r="Q518"/>
      <c r="R518"/>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c r="BA518"/>
      <c r="BB518"/>
      <c r="BC518"/>
      <c r="BD518"/>
      <c r="BE518"/>
      <c r="BF518"/>
      <c r="BG518"/>
      <c r="BH518"/>
      <c r="BI518"/>
      <c r="BJ518"/>
      <c r="BK518"/>
      <c r="BL518"/>
      <c r="BM518"/>
      <c r="BN518"/>
      <c r="BO518"/>
      <c r="BP518"/>
      <c r="BQ518"/>
      <c r="BR518"/>
      <c r="BS518"/>
      <c r="BT518"/>
      <c r="BU518"/>
      <c r="BV518"/>
      <c r="BW518"/>
      <c r="BX518"/>
      <c r="BY518"/>
      <c r="BZ518"/>
    </row>
    <row r="519" spans="4:78" x14ac:dyDescent="0.25">
      <c r="D519"/>
      <c r="E519"/>
      <c r="F519"/>
      <c r="G519"/>
      <c r="H519"/>
      <c r="I519"/>
      <c r="J519"/>
      <c r="K519"/>
      <c r="L519"/>
      <c r="M519"/>
      <c r="N519"/>
      <c r="O519"/>
      <c r="P519"/>
      <c r="Q519"/>
      <c r="R519"/>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c r="BA519"/>
      <c r="BB519"/>
      <c r="BC519"/>
      <c r="BD519"/>
      <c r="BE519"/>
      <c r="BF519"/>
      <c r="BG519"/>
      <c r="BH519"/>
      <c r="BI519"/>
      <c r="BJ519"/>
      <c r="BK519"/>
      <c r="BL519"/>
      <c r="BM519"/>
      <c r="BN519"/>
      <c r="BO519"/>
      <c r="BP519"/>
      <c r="BQ519"/>
      <c r="BR519"/>
      <c r="BS519"/>
      <c r="BT519"/>
      <c r="BU519"/>
      <c r="BV519"/>
      <c r="BW519"/>
      <c r="BX519"/>
      <c r="BY519"/>
      <c r="BZ519"/>
    </row>
    <row r="520" spans="4:78" x14ac:dyDescent="0.25">
      <c r="D520"/>
      <c r="E520"/>
      <c r="F520"/>
      <c r="G520"/>
      <c r="H520"/>
      <c r="I520"/>
      <c r="J520"/>
      <c r="K520"/>
      <c r="L520"/>
      <c r="M520"/>
      <c r="N520"/>
      <c r="O520"/>
      <c r="P520"/>
      <c r="Q520"/>
      <c r="R520"/>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c r="BA520"/>
      <c r="BB520"/>
      <c r="BC520"/>
      <c r="BD520"/>
      <c r="BE520"/>
      <c r="BF520"/>
      <c r="BG520"/>
      <c r="BH520"/>
      <c r="BI520"/>
      <c r="BJ520"/>
      <c r="BK520"/>
      <c r="BL520"/>
      <c r="BM520"/>
      <c r="BN520"/>
      <c r="BO520"/>
      <c r="BP520"/>
      <c r="BQ520"/>
      <c r="BR520"/>
      <c r="BS520"/>
      <c r="BT520"/>
      <c r="BU520"/>
      <c r="BV520"/>
      <c r="BW520"/>
      <c r="BX520"/>
      <c r="BY520"/>
      <c r="BZ520"/>
    </row>
    <row r="521" spans="4:78" x14ac:dyDescent="0.25">
      <c r="D521"/>
      <c r="E521"/>
      <c r="F521"/>
      <c r="G521"/>
      <c r="H521"/>
      <c r="I521"/>
      <c r="J521"/>
      <c r="K521"/>
      <c r="L521"/>
      <c r="M521"/>
      <c r="N521"/>
      <c r="O521"/>
      <c r="P521"/>
      <c r="Q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c r="BA521"/>
      <c r="BB521"/>
      <c r="BC521"/>
      <c r="BD521"/>
      <c r="BE521"/>
      <c r="BF521"/>
      <c r="BG521"/>
      <c r="BH521"/>
      <c r="BI521"/>
      <c r="BJ521"/>
      <c r="BK521"/>
      <c r="BL521"/>
      <c r="BM521"/>
      <c r="BN521"/>
      <c r="BO521"/>
      <c r="BP521"/>
      <c r="BQ521"/>
      <c r="BR521"/>
      <c r="BS521"/>
      <c r="BT521"/>
      <c r="BU521"/>
      <c r="BV521"/>
      <c r="BW521"/>
      <c r="BX521"/>
      <c r="BY521"/>
      <c r="BZ521"/>
    </row>
    <row r="522" spans="4:78" x14ac:dyDescent="0.25">
      <c r="D522"/>
      <c r="E522"/>
      <c r="F522"/>
      <c r="G522"/>
      <c r="H522"/>
      <c r="I522"/>
      <c r="J522"/>
      <c r="K522"/>
      <c r="L522"/>
      <c r="M522"/>
      <c r="N522"/>
      <c r="O522"/>
      <c r="P522"/>
      <c r="Q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c r="BA522"/>
      <c r="BB522"/>
      <c r="BC522"/>
      <c r="BD522"/>
      <c r="BE522"/>
      <c r="BF522"/>
      <c r="BG522"/>
      <c r="BH522"/>
      <c r="BI522"/>
      <c r="BJ522"/>
      <c r="BK522"/>
      <c r="BL522"/>
      <c r="BM522"/>
      <c r="BN522"/>
      <c r="BO522"/>
      <c r="BP522"/>
      <c r="BQ522"/>
      <c r="BR522"/>
      <c r="BS522"/>
      <c r="BT522"/>
      <c r="BU522"/>
      <c r="BV522"/>
      <c r="BW522"/>
      <c r="BX522"/>
      <c r="BY522"/>
      <c r="BZ522"/>
    </row>
    <row r="523" spans="4:78" x14ac:dyDescent="0.25">
      <c r="D523"/>
      <c r="E523"/>
      <c r="F523"/>
      <c r="G523"/>
      <c r="H523"/>
      <c r="I523"/>
      <c r="J523"/>
      <c r="K523"/>
      <c r="L523"/>
      <c r="M523"/>
      <c r="N523"/>
      <c r="O523"/>
      <c r="P523"/>
      <c r="Q523"/>
      <c r="R523"/>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c r="BA523"/>
      <c r="BB523"/>
      <c r="BC523"/>
      <c r="BD523"/>
      <c r="BE523"/>
      <c r="BF523"/>
      <c r="BG523"/>
      <c r="BH523"/>
      <c r="BI523"/>
      <c r="BJ523"/>
      <c r="BK523"/>
      <c r="BL523"/>
      <c r="BM523"/>
      <c r="BN523"/>
      <c r="BO523"/>
      <c r="BP523"/>
      <c r="BQ523"/>
      <c r="BR523"/>
      <c r="BS523"/>
      <c r="BT523"/>
      <c r="BU523"/>
      <c r="BV523"/>
      <c r="BW523"/>
      <c r="BX523"/>
      <c r="BY523"/>
      <c r="BZ523"/>
    </row>
    <row r="524" spans="4:78" x14ac:dyDescent="0.25">
      <c r="D524"/>
      <c r="E524"/>
      <c r="F524"/>
      <c r="G524"/>
      <c r="H524"/>
      <c r="I524"/>
      <c r="J524"/>
      <c r="K524"/>
      <c r="L524"/>
      <c r="M524"/>
      <c r="N524"/>
      <c r="O524"/>
      <c r="P524"/>
      <c r="Q524"/>
      <c r="R524"/>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c r="BA524"/>
      <c r="BB524"/>
      <c r="BC524"/>
      <c r="BD524"/>
      <c r="BE524"/>
      <c r="BF524"/>
      <c r="BG524"/>
      <c r="BH524"/>
      <c r="BI524"/>
      <c r="BJ524"/>
      <c r="BK524"/>
      <c r="BL524"/>
      <c r="BM524"/>
      <c r="BN524"/>
      <c r="BO524"/>
      <c r="BP524"/>
      <c r="BQ524"/>
      <c r="BR524"/>
      <c r="BS524"/>
      <c r="BT524"/>
      <c r="BU524"/>
      <c r="BV524"/>
      <c r="BW524"/>
      <c r="BX524"/>
      <c r="BY524"/>
      <c r="BZ524"/>
    </row>
    <row r="525" spans="4:78" x14ac:dyDescent="0.25">
      <c r="D525"/>
      <c r="E525"/>
      <c r="F525"/>
      <c r="G525"/>
      <c r="H525"/>
      <c r="I525"/>
      <c r="J525"/>
      <c r="K525"/>
      <c r="L525"/>
      <c r="M525"/>
      <c r="N525"/>
      <c r="O525"/>
      <c r="P525"/>
      <c r="Q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c r="BA525"/>
      <c r="BB525"/>
      <c r="BC525"/>
      <c r="BD525"/>
      <c r="BE525"/>
      <c r="BF525"/>
      <c r="BG525"/>
      <c r="BH525"/>
      <c r="BI525"/>
      <c r="BJ525"/>
      <c r="BK525"/>
      <c r="BL525"/>
      <c r="BM525"/>
      <c r="BN525"/>
      <c r="BO525"/>
      <c r="BP525"/>
      <c r="BQ525"/>
      <c r="BR525"/>
      <c r="BS525"/>
      <c r="BT525"/>
      <c r="BU525"/>
      <c r="BV525"/>
      <c r="BW525"/>
      <c r="BX525"/>
      <c r="BY525"/>
      <c r="BZ525"/>
    </row>
    <row r="526" spans="4:78" x14ac:dyDescent="0.25">
      <c r="D526"/>
      <c r="E526"/>
      <c r="F526"/>
      <c r="G526"/>
      <c r="H526"/>
      <c r="I526"/>
      <c r="J526"/>
      <c r="K526"/>
      <c r="L526"/>
      <c r="M526"/>
      <c r="N526"/>
      <c r="O526"/>
      <c r="P526"/>
      <c r="Q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c r="BA526"/>
      <c r="BB526"/>
      <c r="BC526"/>
      <c r="BD526"/>
      <c r="BE526"/>
      <c r="BF526"/>
      <c r="BG526"/>
      <c r="BH526"/>
      <c r="BI526"/>
      <c r="BJ526"/>
      <c r="BK526"/>
      <c r="BL526"/>
      <c r="BM526"/>
      <c r="BN526"/>
      <c r="BO526"/>
      <c r="BP526"/>
      <c r="BQ526"/>
      <c r="BR526"/>
      <c r="BS526"/>
      <c r="BT526"/>
      <c r="BU526"/>
      <c r="BV526"/>
      <c r="BW526"/>
      <c r="BX526"/>
      <c r="BY526"/>
      <c r="BZ526"/>
    </row>
    <row r="527" spans="4:78" x14ac:dyDescent="0.25">
      <c r="D527"/>
      <c r="E527"/>
      <c r="F527"/>
      <c r="G527"/>
      <c r="H527"/>
      <c r="I527"/>
      <c r="J527"/>
      <c r="K527"/>
      <c r="L527"/>
      <c r="M527"/>
      <c r="N527"/>
      <c r="O527"/>
      <c r="P527"/>
      <c r="Q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c r="BA527"/>
      <c r="BB527"/>
      <c r="BC527"/>
      <c r="BD527"/>
      <c r="BE527"/>
      <c r="BF527"/>
      <c r="BG527"/>
      <c r="BH527"/>
      <c r="BI527"/>
      <c r="BJ527"/>
      <c r="BK527"/>
      <c r="BL527"/>
      <c r="BM527"/>
      <c r="BN527"/>
      <c r="BO527"/>
      <c r="BP527"/>
      <c r="BQ527"/>
      <c r="BR527"/>
      <c r="BS527"/>
      <c r="BT527"/>
      <c r="BU527"/>
      <c r="BV527"/>
      <c r="BW527"/>
      <c r="BX527"/>
      <c r="BY527"/>
      <c r="BZ527"/>
    </row>
    <row r="528" spans="4:78" x14ac:dyDescent="0.25">
      <c r="D528"/>
      <c r="E528"/>
      <c r="F528"/>
      <c r="G528"/>
      <c r="H528"/>
      <c r="I528"/>
      <c r="J528"/>
      <c r="K528"/>
      <c r="L528"/>
      <c r="M528"/>
      <c r="N528"/>
      <c r="O528"/>
      <c r="P528"/>
      <c r="Q528"/>
      <c r="R528"/>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c r="BA528"/>
      <c r="BB528"/>
      <c r="BC528"/>
      <c r="BD528"/>
      <c r="BE528"/>
      <c r="BF528"/>
      <c r="BG528"/>
      <c r="BH528"/>
      <c r="BI528"/>
      <c r="BJ528"/>
      <c r="BK528"/>
      <c r="BL528"/>
      <c r="BM528"/>
      <c r="BN528"/>
      <c r="BO528"/>
      <c r="BP528"/>
      <c r="BQ528"/>
      <c r="BR528"/>
      <c r="BS528"/>
      <c r="BT528"/>
      <c r="BU528"/>
      <c r="BV528"/>
      <c r="BW528"/>
      <c r="BX528"/>
      <c r="BY528"/>
      <c r="BZ528"/>
    </row>
    <row r="529" spans="4:78" x14ac:dyDescent="0.25">
      <c r="D529"/>
      <c r="E529"/>
      <c r="F529"/>
      <c r="G529"/>
      <c r="H529"/>
      <c r="I529"/>
      <c r="J529"/>
      <c r="K529"/>
      <c r="L529"/>
      <c r="M529"/>
      <c r="N529"/>
      <c r="O529"/>
      <c r="P529"/>
      <c r="Q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c r="BZ529"/>
    </row>
    <row r="530" spans="4:78" x14ac:dyDescent="0.25">
      <c r="D530"/>
      <c r="E530"/>
      <c r="F530"/>
      <c r="G530"/>
      <c r="H530"/>
      <c r="I530"/>
      <c r="J530"/>
      <c r="K530"/>
      <c r="L530"/>
      <c r="M530"/>
      <c r="N530"/>
      <c r="O530"/>
      <c r="P530"/>
      <c r="Q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c r="BA530"/>
      <c r="BB530"/>
      <c r="BC530"/>
      <c r="BD530"/>
      <c r="BE530"/>
      <c r="BF530"/>
      <c r="BG530"/>
      <c r="BH530"/>
      <c r="BI530"/>
      <c r="BJ530"/>
      <c r="BK530"/>
      <c r="BL530"/>
      <c r="BM530"/>
      <c r="BN530"/>
      <c r="BO530"/>
      <c r="BP530"/>
      <c r="BQ530"/>
      <c r="BR530"/>
      <c r="BS530"/>
      <c r="BT530"/>
      <c r="BU530"/>
      <c r="BV530"/>
      <c r="BW530"/>
      <c r="BX530"/>
      <c r="BY530"/>
      <c r="BZ530"/>
    </row>
    <row r="531" spans="4:78" x14ac:dyDescent="0.25">
      <c r="D531"/>
      <c r="E531"/>
      <c r="F531"/>
      <c r="G531"/>
      <c r="H531"/>
      <c r="I531"/>
      <c r="J531"/>
      <c r="K531"/>
      <c r="L531"/>
      <c r="M531"/>
      <c r="N531"/>
      <c r="O531"/>
      <c r="P531"/>
      <c r="Q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c r="BZ531"/>
    </row>
    <row r="532" spans="4:78" x14ac:dyDescent="0.25">
      <c r="D532"/>
      <c r="E532"/>
      <c r="F532"/>
      <c r="G532"/>
      <c r="H532"/>
      <c r="I532"/>
      <c r="J532"/>
      <c r="K532"/>
      <c r="L532"/>
      <c r="M532"/>
      <c r="N532"/>
      <c r="O532"/>
      <c r="P532"/>
      <c r="Q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c r="BG532"/>
      <c r="BH532"/>
      <c r="BI532"/>
      <c r="BJ532"/>
      <c r="BK532"/>
      <c r="BL532"/>
      <c r="BM532"/>
      <c r="BN532"/>
      <c r="BO532"/>
      <c r="BP532"/>
      <c r="BQ532"/>
      <c r="BR532"/>
      <c r="BS532"/>
      <c r="BT532"/>
      <c r="BU532"/>
      <c r="BV532"/>
      <c r="BW532"/>
      <c r="BX532"/>
      <c r="BY532"/>
      <c r="BZ532"/>
    </row>
    <row r="533" spans="4:78" x14ac:dyDescent="0.25">
      <c r="D533"/>
      <c r="E533"/>
      <c r="F533"/>
      <c r="G533"/>
      <c r="H533"/>
      <c r="I533"/>
      <c r="J533"/>
      <c r="K533"/>
      <c r="L533"/>
      <c r="M533"/>
      <c r="N533"/>
      <c r="O533"/>
      <c r="P533"/>
      <c r="Q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c r="BA533"/>
      <c r="BB533"/>
      <c r="BC533"/>
      <c r="BD533"/>
      <c r="BE533"/>
      <c r="BF533"/>
      <c r="BG533"/>
      <c r="BH533"/>
      <c r="BI533"/>
      <c r="BJ533"/>
      <c r="BK533"/>
      <c r="BL533"/>
      <c r="BM533"/>
      <c r="BN533"/>
      <c r="BO533"/>
      <c r="BP533"/>
      <c r="BQ533"/>
      <c r="BR533"/>
      <c r="BS533"/>
      <c r="BT533"/>
      <c r="BU533"/>
      <c r="BV533"/>
      <c r="BW533"/>
      <c r="BX533"/>
      <c r="BY533"/>
      <c r="BZ533"/>
    </row>
    <row r="534" spans="4:78" x14ac:dyDescent="0.25">
      <c r="D534"/>
      <c r="E534"/>
      <c r="F534"/>
      <c r="G534"/>
      <c r="H534"/>
      <c r="I534"/>
      <c r="J534"/>
      <c r="K534"/>
      <c r="L534"/>
      <c r="M534"/>
      <c r="N534"/>
      <c r="O534"/>
      <c r="P534"/>
      <c r="Q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c r="BA534"/>
      <c r="BB534"/>
      <c r="BC534"/>
      <c r="BD534"/>
      <c r="BE534"/>
      <c r="BF534"/>
      <c r="BG534"/>
      <c r="BH534"/>
      <c r="BI534"/>
      <c r="BJ534"/>
      <c r="BK534"/>
      <c r="BL534"/>
      <c r="BM534"/>
      <c r="BN534"/>
      <c r="BO534"/>
      <c r="BP534"/>
      <c r="BQ534"/>
      <c r="BR534"/>
      <c r="BS534"/>
      <c r="BT534"/>
      <c r="BU534"/>
      <c r="BV534"/>
      <c r="BW534"/>
      <c r="BX534"/>
      <c r="BY534"/>
      <c r="BZ534"/>
    </row>
    <row r="535" spans="4:78" x14ac:dyDescent="0.25">
      <c r="D535"/>
      <c r="E535"/>
      <c r="F535"/>
      <c r="G535"/>
      <c r="H535"/>
      <c r="I535"/>
      <c r="J535"/>
      <c r="K535"/>
      <c r="L535"/>
      <c r="M535"/>
      <c r="N535"/>
      <c r="O535"/>
      <c r="P535"/>
      <c r="Q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c r="BA535"/>
      <c r="BB535"/>
      <c r="BC535"/>
      <c r="BD535"/>
      <c r="BE535"/>
      <c r="BF535"/>
      <c r="BG535"/>
      <c r="BH535"/>
      <c r="BI535"/>
      <c r="BJ535"/>
      <c r="BK535"/>
      <c r="BL535"/>
      <c r="BM535"/>
      <c r="BN535"/>
      <c r="BO535"/>
      <c r="BP535"/>
      <c r="BQ535"/>
      <c r="BR535"/>
      <c r="BS535"/>
      <c r="BT535"/>
      <c r="BU535"/>
      <c r="BV535"/>
      <c r="BW535"/>
      <c r="BX535"/>
      <c r="BY535"/>
      <c r="BZ535"/>
    </row>
    <row r="536" spans="4:78" x14ac:dyDescent="0.25">
      <c r="D536"/>
      <c r="E536"/>
      <c r="F536"/>
      <c r="G536"/>
      <c r="H536"/>
      <c r="I536"/>
      <c r="J536"/>
      <c r="K536"/>
      <c r="L536"/>
      <c r="M536"/>
      <c r="N536"/>
      <c r="O536"/>
      <c r="P536"/>
      <c r="Q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c r="BA536"/>
      <c r="BB536"/>
      <c r="BC536"/>
      <c r="BD536"/>
      <c r="BE536"/>
      <c r="BF536"/>
      <c r="BG536"/>
      <c r="BH536"/>
      <c r="BI536"/>
      <c r="BJ536"/>
      <c r="BK536"/>
      <c r="BL536"/>
      <c r="BM536"/>
      <c r="BN536"/>
      <c r="BO536"/>
      <c r="BP536"/>
      <c r="BQ536"/>
      <c r="BR536"/>
      <c r="BS536"/>
      <c r="BT536"/>
      <c r="BU536"/>
      <c r="BV536"/>
      <c r="BW536"/>
      <c r="BX536"/>
      <c r="BY536"/>
      <c r="BZ536"/>
    </row>
    <row r="537" spans="4:78" x14ac:dyDescent="0.25">
      <c r="D537"/>
      <c r="E537"/>
      <c r="F537"/>
      <c r="G537"/>
      <c r="H537"/>
      <c r="I537"/>
      <c r="J537"/>
      <c r="K537"/>
      <c r="L537"/>
      <c r="M537"/>
      <c r="N537"/>
      <c r="O537"/>
      <c r="P537"/>
      <c r="Q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c r="BA537"/>
      <c r="BB537"/>
      <c r="BC537"/>
      <c r="BD537"/>
      <c r="BE537"/>
      <c r="BF537"/>
      <c r="BG537"/>
      <c r="BH537"/>
      <c r="BI537"/>
      <c r="BJ537"/>
      <c r="BK537"/>
      <c r="BL537"/>
      <c r="BM537"/>
      <c r="BN537"/>
      <c r="BO537"/>
      <c r="BP537"/>
      <c r="BQ537"/>
      <c r="BR537"/>
      <c r="BS537"/>
      <c r="BT537"/>
      <c r="BU537"/>
      <c r="BV537"/>
      <c r="BW537"/>
      <c r="BX537"/>
      <c r="BY537"/>
      <c r="BZ537"/>
    </row>
    <row r="538" spans="4:78" x14ac:dyDescent="0.25">
      <c r="D538"/>
      <c r="E538"/>
      <c r="F538"/>
      <c r="G538"/>
      <c r="H538"/>
      <c r="I538"/>
      <c r="J538"/>
      <c r="K538"/>
      <c r="L538"/>
      <c r="M538"/>
      <c r="N538"/>
      <c r="O538"/>
      <c r="P538"/>
      <c r="Q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c r="BA538"/>
      <c r="BB538"/>
      <c r="BC538"/>
      <c r="BD538"/>
      <c r="BE538"/>
      <c r="BF538"/>
      <c r="BG538"/>
      <c r="BH538"/>
      <c r="BI538"/>
      <c r="BJ538"/>
      <c r="BK538"/>
      <c r="BL538"/>
      <c r="BM538"/>
      <c r="BN538"/>
      <c r="BO538"/>
      <c r="BP538"/>
      <c r="BQ538"/>
      <c r="BR538"/>
      <c r="BS538"/>
      <c r="BT538"/>
      <c r="BU538"/>
      <c r="BV538"/>
      <c r="BW538"/>
      <c r="BX538"/>
      <c r="BY538"/>
      <c r="BZ538"/>
    </row>
    <row r="539" spans="4:78" x14ac:dyDescent="0.25">
      <c r="D539"/>
      <c r="E539"/>
      <c r="F539"/>
      <c r="G539"/>
      <c r="H539"/>
      <c r="I539"/>
      <c r="J539"/>
      <c r="K539"/>
      <c r="L539"/>
      <c r="M539"/>
      <c r="N539"/>
      <c r="O539"/>
      <c r="P539"/>
      <c r="Q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c r="BA539"/>
      <c r="BB539"/>
      <c r="BC539"/>
      <c r="BD539"/>
      <c r="BE539"/>
      <c r="BF539"/>
      <c r="BG539"/>
      <c r="BH539"/>
      <c r="BI539"/>
      <c r="BJ539"/>
      <c r="BK539"/>
      <c r="BL539"/>
      <c r="BM539"/>
      <c r="BN539"/>
      <c r="BO539"/>
      <c r="BP539"/>
      <c r="BQ539"/>
      <c r="BR539"/>
      <c r="BS539"/>
      <c r="BT539"/>
      <c r="BU539"/>
      <c r="BV539"/>
      <c r="BW539"/>
      <c r="BX539"/>
      <c r="BY539"/>
      <c r="BZ539"/>
    </row>
    <row r="540" spans="4:78" x14ac:dyDescent="0.25">
      <c r="D540"/>
      <c r="E540"/>
      <c r="F540"/>
      <c r="G540"/>
      <c r="H540"/>
      <c r="I540"/>
      <c r="J540"/>
      <c r="K540"/>
      <c r="L540"/>
      <c r="M540"/>
      <c r="N540"/>
      <c r="O540"/>
      <c r="P540"/>
      <c r="Q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c r="BA540"/>
      <c r="BB540"/>
      <c r="BC540"/>
      <c r="BD540"/>
      <c r="BE540"/>
      <c r="BF540"/>
      <c r="BG540"/>
      <c r="BH540"/>
      <c r="BI540"/>
      <c r="BJ540"/>
      <c r="BK540"/>
      <c r="BL540"/>
      <c r="BM540"/>
      <c r="BN540"/>
      <c r="BO540"/>
      <c r="BP540"/>
      <c r="BQ540"/>
      <c r="BR540"/>
      <c r="BS540"/>
      <c r="BT540"/>
      <c r="BU540"/>
      <c r="BV540"/>
      <c r="BW540"/>
      <c r="BX540"/>
      <c r="BY540"/>
      <c r="BZ540"/>
    </row>
    <row r="541" spans="4:78" x14ac:dyDescent="0.25">
      <c r="D541"/>
      <c r="E541"/>
      <c r="F541"/>
      <c r="G541"/>
      <c r="H541"/>
      <c r="I541"/>
      <c r="J541"/>
      <c r="K541"/>
      <c r="L541"/>
      <c r="M541"/>
      <c r="N541"/>
      <c r="O541"/>
      <c r="P541"/>
      <c r="Q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c r="BZ541"/>
    </row>
    <row r="542" spans="4:78" x14ac:dyDescent="0.25">
      <c r="D542"/>
      <c r="E542"/>
      <c r="F542"/>
      <c r="G542"/>
      <c r="H542"/>
      <c r="I542"/>
      <c r="J542"/>
      <c r="K542"/>
      <c r="L542"/>
      <c r="M542"/>
      <c r="N542"/>
      <c r="O542"/>
      <c r="P542"/>
      <c r="Q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c r="BZ542"/>
    </row>
    <row r="543" spans="4:78" x14ac:dyDescent="0.25">
      <c r="D543"/>
      <c r="E543"/>
      <c r="F543"/>
      <c r="G543"/>
      <c r="H543"/>
      <c r="I543"/>
      <c r="J543"/>
      <c r="K543"/>
      <c r="L543"/>
      <c r="M543"/>
      <c r="N543"/>
      <c r="O543"/>
      <c r="P543"/>
      <c r="Q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c r="BZ543"/>
    </row>
    <row r="544" spans="4:78" x14ac:dyDescent="0.25">
      <c r="D544"/>
      <c r="E544"/>
      <c r="F544"/>
      <c r="G544"/>
      <c r="H544"/>
      <c r="I544"/>
      <c r="J544"/>
      <c r="K544"/>
      <c r="L544"/>
      <c r="M544"/>
      <c r="N544"/>
      <c r="O544"/>
      <c r="P544"/>
      <c r="Q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c r="BZ544"/>
    </row>
    <row r="545" spans="4:78" x14ac:dyDescent="0.25">
      <c r="D545"/>
      <c r="E545"/>
      <c r="F545"/>
      <c r="G545"/>
      <c r="H545"/>
      <c r="I545"/>
      <c r="J545"/>
      <c r="K545"/>
      <c r="L545"/>
      <c r="M545"/>
      <c r="N545"/>
      <c r="O545"/>
      <c r="P545"/>
      <c r="Q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c r="BA545"/>
      <c r="BB545"/>
      <c r="BC545"/>
      <c r="BD545"/>
      <c r="BE545"/>
      <c r="BF545"/>
      <c r="BG545"/>
      <c r="BH545"/>
      <c r="BI545"/>
      <c r="BJ545"/>
      <c r="BK545"/>
      <c r="BL545"/>
      <c r="BM545"/>
      <c r="BN545"/>
      <c r="BO545"/>
      <c r="BP545"/>
      <c r="BQ545"/>
      <c r="BR545"/>
      <c r="BS545"/>
      <c r="BT545"/>
      <c r="BU545"/>
      <c r="BV545"/>
      <c r="BW545"/>
      <c r="BX545"/>
      <c r="BY545"/>
      <c r="BZ545"/>
    </row>
    <row r="546" spans="4:78" x14ac:dyDescent="0.25">
      <c r="D546"/>
      <c r="E546"/>
      <c r="F546"/>
      <c r="G546"/>
      <c r="H546"/>
      <c r="I546"/>
      <c r="J546"/>
      <c r="K546"/>
      <c r="L546"/>
      <c r="M546"/>
      <c r="N546"/>
      <c r="O546"/>
      <c r="P546"/>
      <c r="Q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c r="BZ546"/>
    </row>
    <row r="547" spans="4:78" x14ac:dyDescent="0.25">
      <c r="D547"/>
      <c r="E547"/>
      <c r="F547"/>
      <c r="G547"/>
      <c r="H547"/>
      <c r="I547"/>
      <c r="J547"/>
      <c r="K547"/>
      <c r="L547"/>
      <c r="M547"/>
      <c r="N547"/>
      <c r="O547"/>
      <c r="P547"/>
      <c r="Q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c r="BA547"/>
      <c r="BB547"/>
      <c r="BC547"/>
      <c r="BD547"/>
      <c r="BE547"/>
      <c r="BF547"/>
      <c r="BG547"/>
      <c r="BH547"/>
      <c r="BI547"/>
      <c r="BJ547"/>
      <c r="BK547"/>
      <c r="BL547"/>
      <c r="BM547"/>
      <c r="BN547"/>
      <c r="BO547"/>
      <c r="BP547"/>
      <c r="BQ547"/>
      <c r="BR547"/>
      <c r="BS547"/>
      <c r="BT547"/>
      <c r="BU547"/>
      <c r="BV547"/>
      <c r="BW547"/>
      <c r="BX547"/>
      <c r="BY547"/>
      <c r="BZ547"/>
    </row>
    <row r="548" spans="4:78" x14ac:dyDescent="0.25">
      <c r="D548"/>
      <c r="E548"/>
      <c r="F548"/>
      <c r="G548"/>
      <c r="H548"/>
      <c r="I548"/>
      <c r="J548"/>
      <c r="K548"/>
      <c r="L548"/>
      <c r="M548"/>
      <c r="N548"/>
      <c r="O548"/>
      <c r="P548"/>
      <c r="Q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c r="BA548"/>
      <c r="BB548"/>
      <c r="BC548"/>
      <c r="BD548"/>
      <c r="BE548"/>
      <c r="BF548"/>
      <c r="BG548"/>
      <c r="BH548"/>
      <c r="BI548"/>
      <c r="BJ548"/>
      <c r="BK548"/>
      <c r="BL548"/>
      <c r="BM548"/>
      <c r="BN548"/>
      <c r="BO548"/>
      <c r="BP548"/>
      <c r="BQ548"/>
      <c r="BR548"/>
      <c r="BS548"/>
      <c r="BT548"/>
      <c r="BU548"/>
      <c r="BV548"/>
      <c r="BW548"/>
      <c r="BX548"/>
      <c r="BY548"/>
      <c r="BZ548"/>
    </row>
    <row r="549" spans="4:78" x14ac:dyDescent="0.25">
      <c r="D549"/>
      <c r="E549"/>
      <c r="F549"/>
      <c r="G549"/>
      <c r="H549"/>
      <c r="I549"/>
      <c r="J549"/>
      <c r="K549"/>
      <c r="L549"/>
      <c r="M549"/>
      <c r="N549"/>
      <c r="O549"/>
      <c r="P549"/>
      <c r="Q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c r="BA549"/>
      <c r="BB549"/>
      <c r="BC549"/>
      <c r="BD549"/>
      <c r="BE549"/>
      <c r="BF549"/>
      <c r="BG549"/>
      <c r="BH549"/>
      <c r="BI549"/>
      <c r="BJ549"/>
      <c r="BK549"/>
      <c r="BL549"/>
      <c r="BM549"/>
      <c r="BN549"/>
      <c r="BO549"/>
      <c r="BP549"/>
      <c r="BQ549"/>
      <c r="BR549"/>
      <c r="BS549"/>
      <c r="BT549"/>
      <c r="BU549"/>
      <c r="BV549"/>
      <c r="BW549"/>
      <c r="BX549"/>
      <c r="BY549"/>
      <c r="BZ549"/>
    </row>
    <row r="550" spans="4:78" x14ac:dyDescent="0.25">
      <c r="D550"/>
      <c r="E550"/>
      <c r="F550"/>
      <c r="G550"/>
      <c r="H550"/>
      <c r="I550"/>
      <c r="J550"/>
      <c r="K550"/>
      <c r="L550"/>
      <c r="M550"/>
      <c r="N550"/>
      <c r="O550"/>
      <c r="P550"/>
      <c r="Q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c r="BA550"/>
      <c r="BB550"/>
      <c r="BC550"/>
      <c r="BD550"/>
      <c r="BE550"/>
      <c r="BF550"/>
      <c r="BG550"/>
      <c r="BH550"/>
      <c r="BI550"/>
      <c r="BJ550"/>
      <c r="BK550"/>
      <c r="BL550"/>
      <c r="BM550"/>
      <c r="BN550"/>
      <c r="BO550"/>
      <c r="BP550"/>
      <c r="BQ550"/>
      <c r="BR550"/>
      <c r="BS550"/>
      <c r="BT550"/>
      <c r="BU550"/>
      <c r="BV550"/>
      <c r="BW550"/>
      <c r="BX550"/>
      <c r="BY550"/>
      <c r="BZ550"/>
    </row>
    <row r="551" spans="4:78" x14ac:dyDescent="0.25">
      <c r="D551"/>
      <c r="E551"/>
      <c r="F551"/>
      <c r="G551"/>
      <c r="H551"/>
      <c r="I551"/>
      <c r="J551"/>
      <c r="K551"/>
      <c r="L551"/>
      <c r="M551"/>
      <c r="N551"/>
      <c r="O551"/>
      <c r="P551"/>
      <c r="Q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c r="BA551"/>
      <c r="BB551"/>
      <c r="BC551"/>
      <c r="BD551"/>
      <c r="BE551"/>
      <c r="BF551"/>
      <c r="BG551"/>
      <c r="BH551"/>
      <c r="BI551"/>
      <c r="BJ551"/>
      <c r="BK551"/>
      <c r="BL551"/>
      <c r="BM551"/>
      <c r="BN551"/>
      <c r="BO551"/>
      <c r="BP551"/>
      <c r="BQ551"/>
      <c r="BR551"/>
      <c r="BS551"/>
      <c r="BT551"/>
      <c r="BU551"/>
      <c r="BV551"/>
      <c r="BW551"/>
      <c r="BX551"/>
      <c r="BY551"/>
      <c r="BZ551"/>
    </row>
    <row r="552" spans="4:78" x14ac:dyDescent="0.25">
      <c r="D552"/>
      <c r="E552"/>
      <c r="F552"/>
      <c r="G552"/>
      <c r="H552"/>
      <c r="I552"/>
      <c r="J552"/>
      <c r="K552"/>
      <c r="L552"/>
      <c r="M552"/>
      <c r="N552"/>
      <c r="O552"/>
      <c r="P552"/>
      <c r="Q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c r="BA552"/>
      <c r="BB552"/>
      <c r="BC552"/>
      <c r="BD552"/>
      <c r="BE552"/>
      <c r="BF552"/>
      <c r="BG552"/>
      <c r="BH552"/>
      <c r="BI552"/>
      <c r="BJ552"/>
      <c r="BK552"/>
      <c r="BL552"/>
      <c r="BM552"/>
      <c r="BN552"/>
      <c r="BO552"/>
      <c r="BP552"/>
      <c r="BQ552"/>
      <c r="BR552"/>
      <c r="BS552"/>
      <c r="BT552"/>
      <c r="BU552"/>
      <c r="BV552"/>
      <c r="BW552"/>
      <c r="BX552"/>
      <c r="BY552"/>
      <c r="BZ552"/>
    </row>
    <row r="553" spans="4:78" x14ac:dyDescent="0.25">
      <c r="D553"/>
      <c r="E553"/>
      <c r="F553"/>
      <c r="G553"/>
      <c r="H553"/>
      <c r="I553"/>
      <c r="J553"/>
      <c r="K553"/>
      <c r="L553"/>
      <c r="M553"/>
      <c r="N553"/>
      <c r="O553"/>
      <c r="P553"/>
      <c r="Q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c r="BA553"/>
      <c r="BB553"/>
      <c r="BC553"/>
      <c r="BD553"/>
      <c r="BE553"/>
      <c r="BF553"/>
      <c r="BG553"/>
      <c r="BH553"/>
      <c r="BI553"/>
      <c r="BJ553"/>
      <c r="BK553"/>
      <c r="BL553"/>
      <c r="BM553"/>
      <c r="BN553"/>
      <c r="BO553"/>
      <c r="BP553"/>
      <c r="BQ553"/>
      <c r="BR553"/>
      <c r="BS553"/>
      <c r="BT553"/>
      <c r="BU553"/>
      <c r="BV553"/>
      <c r="BW553"/>
      <c r="BX553"/>
      <c r="BY553"/>
      <c r="BZ553"/>
    </row>
    <row r="554" spans="4:78" x14ac:dyDescent="0.25">
      <c r="D554"/>
      <c r="E554"/>
      <c r="F554"/>
      <c r="G554"/>
      <c r="H554"/>
      <c r="I554"/>
      <c r="J554"/>
      <c r="K554"/>
      <c r="L554"/>
      <c r="M554"/>
      <c r="N554"/>
      <c r="O554"/>
      <c r="P554"/>
      <c r="Q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c r="BA554"/>
      <c r="BB554"/>
      <c r="BC554"/>
      <c r="BD554"/>
      <c r="BE554"/>
      <c r="BF554"/>
      <c r="BG554"/>
      <c r="BH554"/>
      <c r="BI554"/>
      <c r="BJ554"/>
      <c r="BK554"/>
      <c r="BL554"/>
      <c r="BM554"/>
      <c r="BN554"/>
      <c r="BO554"/>
      <c r="BP554"/>
      <c r="BQ554"/>
      <c r="BR554"/>
      <c r="BS554"/>
      <c r="BT554"/>
      <c r="BU554"/>
      <c r="BV554"/>
      <c r="BW554"/>
      <c r="BX554"/>
      <c r="BY554"/>
      <c r="BZ554"/>
    </row>
    <row r="555" spans="4:78" x14ac:dyDescent="0.25">
      <c r="D555"/>
      <c r="E555"/>
      <c r="F555"/>
      <c r="G555"/>
      <c r="H555"/>
      <c r="I555"/>
      <c r="J555"/>
      <c r="K555"/>
      <c r="L555"/>
      <c r="M555"/>
      <c r="N555"/>
      <c r="O555"/>
      <c r="P555"/>
      <c r="Q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c r="BA555"/>
      <c r="BB555"/>
      <c r="BC555"/>
      <c r="BD555"/>
      <c r="BE555"/>
      <c r="BF555"/>
      <c r="BG555"/>
      <c r="BH555"/>
      <c r="BI555"/>
      <c r="BJ555"/>
      <c r="BK555"/>
      <c r="BL555"/>
      <c r="BM555"/>
      <c r="BN555"/>
      <c r="BO555"/>
      <c r="BP555"/>
      <c r="BQ555"/>
      <c r="BR555"/>
      <c r="BS555"/>
      <c r="BT555"/>
      <c r="BU555"/>
      <c r="BV555"/>
      <c r="BW555"/>
      <c r="BX555"/>
      <c r="BY555"/>
      <c r="BZ555"/>
    </row>
    <row r="556" spans="4:78" x14ac:dyDescent="0.25">
      <c r="D556"/>
      <c r="E556"/>
      <c r="F556"/>
      <c r="G556"/>
      <c r="H556"/>
      <c r="I556"/>
      <c r="J556"/>
      <c r="K556"/>
      <c r="L556"/>
      <c r="M556"/>
      <c r="N556"/>
      <c r="O556"/>
      <c r="P556"/>
      <c r="Q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c r="BA556"/>
      <c r="BB556"/>
      <c r="BC556"/>
      <c r="BD556"/>
      <c r="BE556"/>
      <c r="BF556"/>
      <c r="BG556"/>
      <c r="BH556"/>
      <c r="BI556"/>
      <c r="BJ556"/>
      <c r="BK556"/>
      <c r="BL556"/>
      <c r="BM556"/>
      <c r="BN556"/>
      <c r="BO556"/>
      <c r="BP556"/>
      <c r="BQ556"/>
      <c r="BR556"/>
      <c r="BS556"/>
      <c r="BT556"/>
      <c r="BU556"/>
      <c r="BV556"/>
      <c r="BW556"/>
      <c r="BX556"/>
      <c r="BY556"/>
      <c r="BZ556"/>
    </row>
    <row r="557" spans="4:78" x14ac:dyDescent="0.25">
      <c r="D557"/>
      <c r="E557"/>
      <c r="F557"/>
      <c r="G557"/>
      <c r="H557"/>
      <c r="I557"/>
      <c r="J557"/>
      <c r="K557"/>
      <c r="L557"/>
      <c r="M557"/>
      <c r="N557"/>
      <c r="O557"/>
      <c r="P557"/>
      <c r="Q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c r="BA557"/>
      <c r="BB557"/>
      <c r="BC557"/>
      <c r="BD557"/>
      <c r="BE557"/>
      <c r="BF557"/>
      <c r="BG557"/>
      <c r="BH557"/>
      <c r="BI557"/>
      <c r="BJ557"/>
      <c r="BK557"/>
      <c r="BL557"/>
      <c r="BM557"/>
      <c r="BN557"/>
      <c r="BO557"/>
      <c r="BP557"/>
      <c r="BQ557"/>
      <c r="BR557"/>
      <c r="BS557"/>
      <c r="BT557"/>
      <c r="BU557"/>
      <c r="BV557"/>
      <c r="BW557"/>
      <c r="BX557"/>
      <c r="BY557"/>
      <c r="BZ557"/>
    </row>
    <row r="558" spans="4:78" x14ac:dyDescent="0.25">
      <c r="D558"/>
      <c r="E558"/>
      <c r="F558"/>
      <c r="G558"/>
      <c r="H558"/>
      <c r="I558"/>
      <c r="J558"/>
      <c r="K558"/>
      <c r="L558"/>
      <c r="M558"/>
      <c r="N558"/>
      <c r="O558"/>
      <c r="P558"/>
      <c r="Q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c r="BA558"/>
      <c r="BB558"/>
      <c r="BC558"/>
      <c r="BD558"/>
      <c r="BE558"/>
      <c r="BF558"/>
      <c r="BG558"/>
      <c r="BH558"/>
      <c r="BI558"/>
      <c r="BJ558"/>
      <c r="BK558"/>
      <c r="BL558"/>
      <c r="BM558"/>
      <c r="BN558"/>
      <c r="BO558"/>
      <c r="BP558"/>
      <c r="BQ558"/>
      <c r="BR558"/>
      <c r="BS558"/>
      <c r="BT558"/>
      <c r="BU558"/>
      <c r="BV558"/>
      <c r="BW558"/>
      <c r="BX558"/>
      <c r="BY558"/>
      <c r="BZ558"/>
    </row>
    <row r="559" spans="4:78" x14ac:dyDescent="0.25">
      <c r="D559"/>
      <c r="E559"/>
      <c r="F559"/>
      <c r="G559"/>
      <c r="H559"/>
      <c r="I559"/>
      <c r="J559"/>
      <c r="K559"/>
      <c r="L559"/>
      <c r="M559"/>
      <c r="N559"/>
      <c r="O559"/>
      <c r="P559"/>
      <c r="Q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c r="BA559"/>
      <c r="BB559"/>
      <c r="BC559"/>
      <c r="BD559"/>
      <c r="BE559"/>
      <c r="BF559"/>
      <c r="BG559"/>
      <c r="BH559"/>
      <c r="BI559"/>
      <c r="BJ559"/>
      <c r="BK559"/>
      <c r="BL559"/>
      <c r="BM559"/>
      <c r="BN559"/>
      <c r="BO559"/>
      <c r="BP559"/>
      <c r="BQ559"/>
      <c r="BR559"/>
      <c r="BS559"/>
      <c r="BT559"/>
      <c r="BU559"/>
      <c r="BV559"/>
      <c r="BW559"/>
      <c r="BX559"/>
      <c r="BY559"/>
      <c r="BZ559"/>
    </row>
    <row r="560" spans="4:78" x14ac:dyDescent="0.25">
      <c r="D560"/>
      <c r="E560"/>
      <c r="F560"/>
      <c r="G560"/>
      <c r="H560"/>
      <c r="I560"/>
      <c r="J560"/>
      <c r="K560"/>
      <c r="L560"/>
      <c r="M560"/>
      <c r="N560"/>
      <c r="O560"/>
      <c r="P560"/>
      <c r="Q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c r="BA560"/>
      <c r="BB560"/>
      <c r="BC560"/>
      <c r="BD560"/>
      <c r="BE560"/>
      <c r="BF560"/>
      <c r="BG560"/>
      <c r="BH560"/>
      <c r="BI560"/>
      <c r="BJ560"/>
      <c r="BK560"/>
      <c r="BL560"/>
      <c r="BM560"/>
      <c r="BN560"/>
      <c r="BO560"/>
      <c r="BP560"/>
      <c r="BQ560"/>
      <c r="BR560"/>
      <c r="BS560"/>
      <c r="BT560"/>
      <c r="BU560"/>
      <c r="BV560"/>
      <c r="BW560"/>
      <c r="BX560"/>
      <c r="BY560"/>
      <c r="BZ560"/>
    </row>
    <row r="561" spans="4:78" x14ac:dyDescent="0.25">
      <c r="D561"/>
      <c r="E561"/>
      <c r="F561"/>
      <c r="G561"/>
      <c r="H561"/>
      <c r="I561"/>
      <c r="J561"/>
      <c r="K561"/>
      <c r="L561"/>
      <c r="M561"/>
      <c r="N561"/>
      <c r="O561"/>
      <c r="P561"/>
      <c r="Q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c r="BA561"/>
      <c r="BB561"/>
      <c r="BC561"/>
      <c r="BD561"/>
      <c r="BE561"/>
      <c r="BF561"/>
      <c r="BG561"/>
      <c r="BH561"/>
      <c r="BI561"/>
      <c r="BJ561"/>
      <c r="BK561"/>
      <c r="BL561"/>
      <c r="BM561"/>
      <c r="BN561"/>
      <c r="BO561"/>
      <c r="BP561"/>
      <c r="BQ561"/>
      <c r="BR561"/>
      <c r="BS561"/>
      <c r="BT561"/>
      <c r="BU561"/>
      <c r="BV561"/>
      <c r="BW561"/>
      <c r="BX561"/>
      <c r="BY561"/>
      <c r="BZ561"/>
    </row>
    <row r="562" spans="4:78" x14ac:dyDescent="0.25">
      <c r="D562"/>
      <c r="E562"/>
      <c r="F562"/>
      <c r="G562"/>
      <c r="H562"/>
      <c r="I562"/>
      <c r="J562"/>
      <c r="K562"/>
      <c r="L562"/>
      <c r="M562"/>
      <c r="N562"/>
      <c r="O562"/>
      <c r="P562"/>
      <c r="Q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c r="BA562"/>
      <c r="BB562"/>
      <c r="BC562"/>
      <c r="BD562"/>
      <c r="BE562"/>
      <c r="BF562"/>
      <c r="BG562"/>
      <c r="BH562"/>
      <c r="BI562"/>
      <c r="BJ562"/>
      <c r="BK562"/>
      <c r="BL562"/>
      <c r="BM562"/>
      <c r="BN562"/>
      <c r="BO562"/>
      <c r="BP562"/>
      <c r="BQ562"/>
      <c r="BR562"/>
      <c r="BS562"/>
      <c r="BT562"/>
      <c r="BU562"/>
      <c r="BV562"/>
      <c r="BW562"/>
      <c r="BX562"/>
      <c r="BY562"/>
      <c r="BZ562"/>
    </row>
    <row r="563" spans="4:78" x14ac:dyDescent="0.25">
      <c r="D563"/>
      <c r="E563"/>
      <c r="F563"/>
      <c r="G563"/>
      <c r="H563"/>
      <c r="I563"/>
      <c r="J563"/>
      <c r="K563"/>
      <c r="L563"/>
      <c r="M563"/>
      <c r="N563"/>
      <c r="O563"/>
      <c r="P563"/>
      <c r="Q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c r="BA563"/>
      <c r="BB563"/>
      <c r="BC563"/>
      <c r="BD563"/>
      <c r="BE563"/>
      <c r="BF563"/>
      <c r="BG563"/>
      <c r="BH563"/>
      <c r="BI563"/>
      <c r="BJ563"/>
      <c r="BK563"/>
      <c r="BL563"/>
      <c r="BM563"/>
      <c r="BN563"/>
      <c r="BO563"/>
      <c r="BP563"/>
      <c r="BQ563"/>
      <c r="BR563"/>
      <c r="BS563"/>
      <c r="BT563"/>
      <c r="BU563"/>
      <c r="BV563"/>
      <c r="BW563"/>
      <c r="BX563"/>
      <c r="BY563"/>
      <c r="BZ563"/>
    </row>
    <row r="564" spans="4:78" x14ac:dyDescent="0.25">
      <c r="D564"/>
      <c r="E564"/>
      <c r="F564"/>
      <c r="G564"/>
      <c r="H564"/>
      <c r="I564"/>
      <c r="J564"/>
      <c r="K564"/>
      <c r="L564"/>
      <c r="M564"/>
      <c r="N564"/>
      <c r="O564"/>
      <c r="P564"/>
      <c r="Q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c r="BA564"/>
      <c r="BB564"/>
      <c r="BC564"/>
      <c r="BD564"/>
      <c r="BE564"/>
      <c r="BF564"/>
      <c r="BG564"/>
      <c r="BH564"/>
      <c r="BI564"/>
      <c r="BJ564"/>
      <c r="BK564"/>
      <c r="BL564"/>
      <c r="BM564"/>
      <c r="BN564"/>
      <c r="BO564"/>
      <c r="BP564"/>
      <c r="BQ564"/>
      <c r="BR564"/>
      <c r="BS564"/>
      <c r="BT564"/>
      <c r="BU564"/>
      <c r="BV564"/>
      <c r="BW564"/>
      <c r="BX564"/>
      <c r="BY564"/>
      <c r="BZ564"/>
    </row>
    <row r="565" spans="4:78" x14ac:dyDescent="0.25">
      <c r="D565"/>
      <c r="E565"/>
      <c r="F565"/>
      <c r="G565"/>
      <c r="H565"/>
      <c r="I565"/>
      <c r="J565"/>
      <c r="K565"/>
      <c r="L565"/>
      <c r="M565"/>
      <c r="N565"/>
      <c r="O565"/>
      <c r="P565"/>
      <c r="Q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c r="BA565"/>
      <c r="BB565"/>
      <c r="BC565"/>
      <c r="BD565"/>
      <c r="BE565"/>
      <c r="BF565"/>
      <c r="BG565"/>
      <c r="BH565"/>
      <c r="BI565"/>
      <c r="BJ565"/>
      <c r="BK565"/>
      <c r="BL565"/>
      <c r="BM565"/>
      <c r="BN565"/>
      <c r="BO565"/>
      <c r="BP565"/>
      <c r="BQ565"/>
      <c r="BR565"/>
      <c r="BS565"/>
      <c r="BT565"/>
      <c r="BU565"/>
      <c r="BV565"/>
      <c r="BW565"/>
      <c r="BX565"/>
      <c r="BY565"/>
      <c r="BZ565"/>
    </row>
    <row r="566" spans="4:78" x14ac:dyDescent="0.25">
      <c r="D566"/>
      <c r="E566"/>
      <c r="F566"/>
      <c r="G566"/>
      <c r="H566"/>
      <c r="I566"/>
      <c r="J566"/>
      <c r="K566"/>
      <c r="L566"/>
      <c r="M566"/>
      <c r="N566"/>
      <c r="O566"/>
      <c r="P566"/>
      <c r="Q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c r="BA566"/>
      <c r="BB566"/>
      <c r="BC566"/>
      <c r="BD566"/>
      <c r="BE566"/>
      <c r="BF566"/>
      <c r="BG566"/>
      <c r="BH566"/>
      <c r="BI566"/>
      <c r="BJ566"/>
      <c r="BK566"/>
      <c r="BL566"/>
      <c r="BM566"/>
      <c r="BN566"/>
      <c r="BO566"/>
      <c r="BP566"/>
      <c r="BQ566"/>
      <c r="BR566"/>
      <c r="BS566"/>
      <c r="BT566"/>
      <c r="BU566"/>
      <c r="BV566"/>
      <c r="BW566"/>
      <c r="BX566"/>
      <c r="BY566"/>
      <c r="BZ566"/>
    </row>
    <row r="567" spans="4:78" x14ac:dyDescent="0.25">
      <c r="D567"/>
      <c r="E567"/>
      <c r="F567"/>
      <c r="G567"/>
      <c r="H567"/>
      <c r="I567"/>
      <c r="J567"/>
      <c r="K567"/>
      <c r="L567"/>
      <c r="M567"/>
      <c r="N567"/>
      <c r="O567"/>
      <c r="P567"/>
      <c r="Q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c r="BA567"/>
      <c r="BB567"/>
      <c r="BC567"/>
      <c r="BD567"/>
      <c r="BE567"/>
      <c r="BF567"/>
      <c r="BG567"/>
      <c r="BH567"/>
      <c r="BI567"/>
      <c r="BJ567"/>
      <c r="BK567"/>
      <c r="BL567"/>
      <c r="BM567"/>
      <c r="BN567"/>
      <c r="BO567"/>
      <c r="BP567"/>
      <c r="BQ567"/>
      <c r="BR567"/>
      <c r="BS567"/>
      <c r="BT567"/>
      <c r="BU567"/>
      <c r="BV567"/>
      <c r="BW567"/>
      <c r="BX567"/>
      <c r="BY567"/>
      <c r="BZ567"/>
    </row>
    <row r="568" spans="4:78" x14ac:dyDescent="0.25">
      <c r="D568"/>
      <c r="E568"/>
      <c r="F568"/>
      <c r="G568"/>
      <c r="H568"/>
      <c r="I568"/>
      <c r="J568"/>
      <c r="K568"/>
      <c r="L568"/>
      <c r="M568"/>
      <c r="N568"/>
      <c r="O568"/>
      <c r="P568"/>
      <c r="Q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c r="BA568"/>
      <c r="BB568"/>
      <c r="BC568"/>
      <c r="BD568"/>
      <c r="BE568"/>
      <c r="BF568"/>
      <c r="BG568"/>
      <c r="BH568"/>
      <c r="BI568"/>
      <c r="BJ568"/>
      <c r="BK568"/>
      <c r="BL568"/>
      <c r="BM568"/>
      <c r="BN568"/>
      <c r="BO568"/>
      <c r="BP568"/>
      <c r="BQ568"/>
      <c r="BR568"/>
      <c r="BS568"/>
      <c r="BT568"/>
      <c r="BU568"/>
      <c r="BV568"/>
      <c r="BW568"/>
      <c r="BX568"/>
      <c r="BY568"/>
      <c r="BZ568"/>
    </row>
    <row r="569" spans="4:78" x14ac:dyDescent="0.25">
      <c r="D569"/>
      <c r="E569"/>
      <c r="F569"/>
      <c r="G569"/>
      <c r="H569"/>
      <c r="I569"/>
      <c r="J569"/>
      <c r="K569"/>
      <c r="L569"/>
      <c r="M569"/>
      <c r="N569"/>
      <c r="O569"/>
      <c r="P569"/>
      <c r="Q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c r="BA569"/>
      <c r="BB569"/>
      <c r="BC569"/>
      <c r="BD569"/>
      <c r="BE569"/>
      <c r="BF569"/>
      <c r="BG569"/>
      <c r="BH569"/>
      <c r="BI569"/>
      <c r="BJ569"/>
      <c r="BK569"/>
      <c r="BL569"/>
      <c r="BM569"/>
      <c r="BN569"/>
      <c r="BO569"/>
      <c r="BP569"/>
      <c r="BQ569"/>
      <c r="BR569"/>
      <c r="BS569"/>
      <c r="BT569"/>
      <c r="BU569"/>
      <c r="BV569"/>
      <c r="BW569"/>
      <c r="BX569"/>
      <c r="BY569"/>
      <c r="BZ569"/>
    </row>
    <row r="570" spans="4:78" x14ac:dyDescent="0.25">
      <c r="D570"/>
      <c r="E570"/>
      <c r="F570"/>
      <c r="G570"/>
      <c r="H570"/>
      <c r="I570"/>
      <c r="J570"/>
      <c r="K570"/>
      <c r="L570"/>
      <c r="M570"/>
      <c r="N570"/>
      <c r="O570"/>
      <c r="P570"/>
      <c r="Q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c r="BA570"/>
      <c r="BB570"/>
      <c r="BC570"/>
      <c r="BD570"/>
      <c r="BE570"/>
      <c r="BF570"/>
      <c r="BG570"/>
      <c r="BH570"/>
      <c r="BI570"/>
      <c r="BJ570"/>
      <c r="BK570"/>
      <c r="BL570"/>
      <c r="BM570"/>
      <c r="BN570"/>
      <c r="BO570"/>
      <c r="BP570"/>
      <c r="BQ570"/>
      <c r="BR570"/>
      <c r="BS570"/>
      <c r="BT570"/>
      <c r="BU570"/>
      <c r="BV570"/>
      <c r="BW570"/>
      <c r="BX570"/>
      <c r="BY570"/>
      <c r="BZ570"/>
    </row>
    <row r="571" spans="4:78" x14ac:dyDescent="0.25">
      <c r="D571"/>
      <c r="E571"/>
      <c r="F571"/>
      <c r="G571"/>
      <c r="H571"/>
      <c r="I571"/>
      <c r="J571"/>
      <c r="K571"/>
      <c r="L571"/>
      <c r="M571"/>
      <c r="N571"/>
      <c r="O571"/>
      <c r="P571"/>
      <c r="Q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c r="BA571"/>
      <c r="BB571"/>
      <c r="BC571"/>
      <c r="BD571"/>
      <c r="BE571"/>
      <c r="BF571"/>
      <c r="BG571"/>
      <c r="BH571"/>
      <c r="BI571"/>
      <c r="BJ571"/>
      <c r="BK571"/>
      <c r="BL571"/>
      <c r="BM571"/>
      <c r="BN571"/>
      <c r="BO571"/>
      <c r="BP571"/>
      <c r="BQ571"/>
      <c r="BR571"/>
      <c r="BS571"/>
      <c r="BT571"/>
      <c r="BU571"/>
      <c r="BV571"/>
      <c r="BW571"/>
      <c r="BX571"/>
      <c r="BY571"/>
      <c r="BZ571"/>
    </row>
    <row r="572" spans="4:78" x14ac:dyDescent="0.25">
      <c r="D572"/>
      <c r="E572"/>
      <c r="F572"/>
      <c r="G572"/>
      <c r="H572"/>
      <c r="I572"/>
      <c r="J572"/>
      <c r="K572"/>
      <c r="L572"/>
      <c r="M572"/>
      <c r="N572"/>
      <c r="O572"/>
      <c r="P572"/>
      <c r="Q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c r="BA572"/>
      <c r="BB572"/>
      <c r="BC572"/>
      <c r="BD572"/>
      <c r="BE572"/>
      <c r="BF572"/>
      <c r="BG572"/>
      <c r="BH572"/>
      <c r="BI572"/>
      <c r="BJ572"/>
      <c r="BK572"/>
      <c r="BL572"/>
      <c r="BM572"/>
      <c r="BN572"/>
      <c r="BO572"/>
      <c r="BP572"/>
      <c r="BQ572"/>
      <c r="BR572"/>
      <c r="BS572"/>
      <c r="BT572"/>
      <c r="BU572"/>
      <c r="BV572"/>
      <c r="BW572"/>
      <c r="BX572"/>
      <c r="BY572"/>
      <c r="BZ572"/>
    </row>
    <row r="573" spans="4:78" x14ac:dyDescent="0.25">
      <c r="D573"/>
      <c r="E573"/>
      <c r="F573"/>
      <c r="G573"/>
      <c r="H573"/>
      <c r="I573"/>
      <c r="J573"/>
      <c r="K573"/>
      <c r="L573"/>
      <c r="M573"/>
      <c r="N573"/>
      <c r="O573"/>
      <c r="P573"/>
      <c r="Q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c r="BA573"/>
      <c r="BB573"/>
      <c r="BC573"/>
      <c r="BD573"/>
      <c r="BE573"/>
      <c r="BF573"/>
      <c r="BG573"/>
      <c r="BH573"/>
      <c r="BI573"/>
      <c r="BJ573"/>
      <c r="BK573"/>
      <c r="BL573"/>
      <c r="BM573"/>
      <c r="BN573"/>
      <c r="BO573"/>
      <c r="BP573"/>
      <c r="BQ573"/>
      <c r="BR573"/>
      <c r="BS573"/>
      <c r="BT573"/>
      <c r="BU573"/>
      <c r="BV573"/>
      <c r="BW573"/>
      <c r="BX573"/>
      <c r="BY573"/>
      <c r="BZ573"/>
    </row>
    <row r="574" spans="4:78" x14ac:dyDescent="0.25">
      <c r="D574"/>
      <c r="E574"/>
      <c r="F574"/>
      <c r="G574"/>
      <c r="H574"/>
      <c r="I574"/>
      <c r="J574"/>
      <c r="K574"/>
      <c r="L574"/>
      <c r="M574"/>
      <c r="N574"/>
      <c r="O574"/>
      <c r="P574"/>
      <c r="Q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c r="BA574"/>
      <c r="BB574"/>
      <c r="BC574"/>
      <c r="BD574"/>
      <c r="BE574"/>
      <c r="BF574"/>
      <c r="BG574"/>
      <c r="BH574"/>
      <c r="BI574"/>
      <c r="BJ574"/>
      <c r="BK574"/>
      <c r="BL574"/>
      <c r="BM574"/>
      <c r="BN574"/>
      <c r="BO574"/>
      <c r="BP574"/>
      <c r="BQ574"/>
      <c r="BR574"/>
      <c r="BS574"/>
      <c r="BT574"/>
      <c r="BU574"/>
      <c r="BV574"/>
      <c r="BW574"/>
      <c r="BX574"/>
      <c r="BY574"/>
      <c r="BZ574"/>
    </row>
    <row r="575" spans="4:78" x14ac:dyDescent="0.25">
      <c r="D575"/>
      <c r="E575"/>
      <c r="F575"/>
      <c r="G575"/>
      <c r="H575"/>
      <c r="I575"/>
      <c r="J575"/>
      <c r="K575"/>
      <c r="L575"/>
      <c r="M575"/>
      <c r="N575"/>
      <c r="O575"/>
      <c r="P575"/>
      <c r="Q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c r="BA575"/>
      <c r="BB575"/>
      <c r="BC575"/>
      <c r="BD575"/>
      <c r="BE575"/>
      <c r="BF575"/>
      <c r="BG575"/>
      <c r="BH575"/>
      <c r="BI575"/>
      <c r="BJ575"/>
      <c r="BK575"/>
      <c r="BL575"/>
      <c r="BM575"/>
      <c r="BN575"/>
      <c r="BO575"/>
      <c r="BP575"/>
      <c r="BQ575"/>
      <c r="BR575"/>
      <c r="BS575"/>
      <c r="BT575"/>
      <c r="BU575"/>
      <c r="BV575"/>
      <c r="BW575"/>
      <c r="BX575"/>
      <c r="BY575"/>
      <c r="BZ575"/>
    </row>
    <row r="576" spans="4:78" x14ac:dyDescent="0.25">
      <c r="D576"/>
      <c r="E576"/>
      <c r="F576"/>
      <c r="G576"/>
      <c r="H576"/>
      <c r="I576"/>
      <c r="J576"/>
      <c r="K576"/>
      <c r="L576"/>
      <c r="M576"/>
      <c r="N576"/>
      <c r="O576"/>
      <c r="P576"/>
      <c r="Q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c r="BA576"/>
      <c r="BB576"/>
      <c r="BC576"/>
      <c r="BD576"/>
      <c r="BE576"/>
      <c r="BF576"/>
      <c r="BG576"/>
      <c r="BH576"/>
      <c r="BI576"/>
      <c r="BJ576"/>
      <c r="BK576"/>
      <c r="BL576"/>
      <c r="BM576"/>
      <c r="BN576"/>
      <c r="BO576"/>
      <c r="BP576"/>
      <c r="BQ576"/>
      <c r="BR576"/>
      <c r="BS576"/>
      <c r="BT576"/>
      <c r="BU576"/>
      <c r="BV576"/>
      <c r="BW576"/>
      <c r="BX576"/>
      <c r="BY576"/>
      <c r="BZ576"/>
    </row>
    <row r="577" spans="4:78" x14ac:dyDescent="0.25">
      <c r="D577"/>
      <c r="E577"/>
      <c r="F577"/>
      <c r="G577"/>
      <c r="H577"/>
      <c r="I577"/>
      <c r="J577"/>
      <c r="K577"/>
      <c r="L577"/>
      <c r="M577"/>
      <c r="N577"/>
      <c r="O577"/>
      <c r="P577"/>
      <c r="Q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c r="BA577"/>
      <c r="BB577"/>
      <c r="BC577"/>
      <c r="BD577"/>
      <c r="BE577"/>
      <c r="BF577"/>
      <c r="BG577"/>
      <c r="BH577"/>
      <c r="BI577"/>
      <c r="BJ577"/>
      <c r="BK577"/>
      <c r="BL577"/>
      <c r="BM577"/>
      <c r="BN577"/>
      <c r="BO577"/>
      <c r="BP577"/>
      <c r="BQ577"/>
      <c r="BR577"/>
      <c r="BS577"/>
      <c r="BT577"/>
      <c r="BU577"/>
      <c r="BV577"/>
      <c r="BW577"/>
      <c r="BX577"/>
      <c r="BY577"/>
      <c r="BZ577"/>
    </row>
    <row r="578" spans="4:78" x14ac:dyDescent="0.25">
      <c r="D578"/>
      <c r="E578"/>
      <c r="F578"/>
      <c r="G578"/>
      <c r="H578"/>
      <c r="I578"/>
      <c r="J578"/>
      <c r="K578"/>
      <c r="L578"/>
      <c r="M578"/>
      <c r="N578"/>
      <c r="O578"/>
      <c r="P578"/>
      <c r="Q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c r="BA578"/>
      <c r="BB578"/>
      <c r="BC578"/>
      <c r="BD578"/>
      <c r="BE578"/>
      <c r="BF578"/>
      <c r="BG578"/>
      <c r="BH578"/>
      <c r="BI578"/>
      <c r="BJ578"/>
      <c r="BK578"/>
      <c r="BL578"/>
      <c r="BM578"/>
      <c r="BN578"/>
      <c r="BO578"/>
      <c r="BP578"/>
      <c r="BQ578"/>
      <c r="BR578"/>
      <c r="BS578"/>
      <c r="BT578"/>
      <c r="BU578"/>
      <c r="BV578"/>
      <c r="BW578"/>
      <c r="BX578"/>
      <c r="BY578"/>
      <c r="BZ578"/>
    </row>
    <row r="579" spans="4:78" x14ac:dyDescent="0.25">
      <c r="D579"/>
      <c r="E579"/>
      <c r="F579"/>
      <c r="G579"/>
      <c r="H579"/>
      <c r="I579"/>
      <c r="J579"/>
      <c r="K579"/>
      <c r="L579"/>
      <c r="M579"/>
      <c r="N579"/>
      <c r="O579"/>
      <c r="P579"/>
      <c r="Q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c r="BZ579"/>
    </row>
    <row r="580" spans="4:78" x14ac:dyDescent="0.25">
      <c r="D580"/>
      <c r="E580"/>
      <c r="F580"/>
      <c r="G580"/>
      <c r="H580"/>
      <c r="I580"/>
      <c r="J580"/>
      <c r="K580"/>
      <c r="L580"/>
      <c r="M580"/>
      <c r="N580"/>
      <c r="O580"/>
      <c r="P580"/>
      <c r="Q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c r="BA580"/>
      <c r="BB580"/>
      <c r="BC580"/>
      <c r="BD580"/>
      <c r="BE580"/>
      <c r="BF580"/>
      <c r="BG580"/>
      <c r="BH580"/>
      <c r="BI580"/>
      <c r="BJ580"/>
      <c r="BK580"/>
      <c r="BL580"/>
      <c r="BM580"/>
      <c r="BN580"/>
      <c r="BO580"/>
      <c r="BP580"/>
      <c r="BQ580"/>
      <c r="BR580"/>
      <c r="BS580"/>
      <c r="BT580"/>
      <c r="BU580"/>
      <c r="BV580"/>
      <c r="BW580"/>
      <c r="BX580"/>
      <c r="BY580"/>
      <c r="BZ580"/>
    </row>
    <row r="581" spans="4:78" x14ac:dyDescent="0.25">
      <c r="D581"/>
      <c r="E581"/>
      <c r="F581"/>
      <c r="G581"/>
      <c r="H581"/>
      <c r="I581"/>
      <c r="J581"/>
      <c r="K581"/>
      <c r="L581"/>
      <c r="M581"/>
      <c r="N581"/>
      <c r="O581"/>
      <c r="P581"/>
      <c r="Q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c r="BA581"/>
      <c r="BB581"/>
      <c r="BC581"/>
      <c r="BD581"/>
      <c r="BE581"/>
      <c r="BF581"/>
      <c r="BG581"/>
      <c r="BH581"/>
      <c r="BI581"/>
      <c r="BJ581"/>
      <c r="BK581"/>
      <c r="BL581"/>
      <c r="BM581"/>
      <c r="BN581"/>
      <c r="BO581"/>
      <c r="BP581"/>
      <c r="BQ581"/>
      <c r="BR581"/>
      <c r="BS581"/>
      <c r="BT581"/>
      <c r="BU581"/>
      <c r="BV581"/>
      <c r="BW581"/>
      <c r="BX581"/>
      <c r="BY581"/>
      <c r="BZ581"/>
    </row>
    <row r="582" spans="4:78" x14ac:dyDescent="0.25">
      <c r="D582"/>
      <c r="E582"/>
      <c r="F582"/>
      <c r="G582"/>
      <c r="H582"/>
      <c r="I582"/>
      <c r="J582"/>
      <c r="K582"/>
      <c r="L582"/>
      <c r="M582"/>
      <c r="N582"/>
      <c r="O582"/>
      <c r="P582"/>
      <c r="Q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c r="BZ582"/>
    </row>
    <row r="583" spans="4:78" x14ac:dyDescent="0.25">
      <c r="D583"/>
      <c r="E583"/>
      <c r="F583"/>
      <c r="G583"/>
      <c r="H583"/>
      <c r="I583"/>
      <c r="J583"/>
      <c r="K583"/>
      <c r="L583"/>
      <c r="M583"/>
      <c r="N583"/>
      <c r="O583"/>
      <c r="P583"/>
      <c r="Q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c r="BA583"/>
      <c r="BB583"/>
      <c r="BC583"/>
      <c r="BD583"/>
      <c r="BE583"/>
      <c r="BF583"/>
      <c r="BG583"/>
      <c r="BH583"/>
      <c r="BI583"/>
      <c r="BJ583"/>
      <c r="BK583"/>
      <c r="BL583"/>
      <c r="BM583"/>
      <c r="BN583"/>
      <c r="BO583"/>
      <c r="BP583"/>
      <c r="BQ583"/>
      <c r="BR583"/>
      <c r="BS583"/>
      <c r="BT583"/>
      <c r="BU583"/>
      <c r="BV583"/>
      <c r="BW583"/>
      <c r="BX583"/>
      <c r="BY583"/>
      <c r="BZ583"/>
    </row>
    <row r="584" spans="4:78" x14ac:dyDescent="0.25">
      <c r="D584"/>
      <c r="E584"/>
      <c r="F584"/>
      <c r="G584"/>
      <c r="H584"/>
      <c r="I584"/>
      <c r="J584"/>
      <c r="K584"/>
      <c r="L584"/>
      <c r="M584"/>
      <c r="N584"/>
      <c r="O584"/>
      <c r="P584"/>
      <c r="Q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c r="BA584"/>
      <c r="BB584"/>
      <c r="BC584"/>
      <c r="BD584"/>
      <c r="BE584"/>
      <c r="BF584"/>
      <c r="BG584"/>
      <c r="BH584"/>
      <c r="BI584"/>
      <c r="BJ584"/>
      <c r="BK584"/>
      <c r="BL584"/>
      <c r="BM584"/>
      <c r="BN584"/>
      <c r="BO584"/>
      <c r="BP584"/>
      <c r="BQ584"/>
      <c r="BR584"/>
      <c r="BS584"/>
      <c r="BT584"/>
      <c r="BU584"/>
      <c r="BV584"/>
      <c r="BW584"/>
      <c r="BX584"/>
      <c r="BY584"/>
      <c r="BZ584"/>
    </row>
    <row r="585" spans="4:78" x14ac:dyDescent="0.25">
      <c r="D585"/>
      <c r="E585"/>
      <c r="F585"/>
      <c r="G585"/>
      <c r="H585"/>
      <c r="I585"/>
      <c r="J585"/>
      <c r="K585"/>
      <c r="L585"/>
      <c r="M585"/>
      <c r="N585"/>
      <c r="O585"/>
      <c r="P585"/>
      <c r="Q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c r="BA585"/>
      <c r="BB585"/>
      <c r="BC585"/>
      <c r="BD585"/>
      <c r="BE585"/>
      <c r="BF585"/>
      <c r="BG585"/>
      <c r="BH585"/>
      <c r="BI585"/>
      <c r="BJ585"/>
      <c r="BK585"/>
      <c r="BL585"/>
      <c r="BM585"/>
      <c r="BN585"/>
      <c r="BO585"/>
      <c r="BP585"/>
      <c r="BQ585"/>
      <c r="BR585"/>
      <c r="BS585"/>
      <c r="BT585"/>
      <c r="BU585"/>
      <c r="BV585"/>
      <c r="BW585"/>
      <c r="BX585"/>
      <c r="BY585"/>
      <c r="BZ585"/>
    </row>
    <row r="586" spans="4:78" x14ac:dyDescent="0.25">
      <c r="D586"/>
      <c r="E586"/>
      <c r="F586"/>
      <c r="G586"/>
      <c r="H586"/>
      <c r="I586"/>
      <c r="J586"/>
      <c r="K586"/>
      <c r="L586"/>
      <c r="M586"/>
      <c r="N586"/>
      <c r="O586"/>
      <c r="P586"/>
      <c r="Q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c r="BA586"/>
      <c r="BB586"/>
      <c r="BC586"/>
      <c r="BD586"/>
      <c r="BE586"/>
      <c r="BF586"/>
      <c r="BG586"/>
      <c r="BH586"/>
      <c r="BI586"/>
      <c r="BJ586"/>
      <c r="BK586"/>
      <c r="BL586"/>
      <c r="BM586"/>
      <c r="BN586"/>
      <c r="BO586"/>
      <c r="BP586"/>
      <c r="BQ586"/>
      <c r="BR586"/>
      <c r="BS586"/>
      <c r="BT586"/>
      <c r="BU586"/>
      <c r="BV586"/>
      <c r="BW586"/>
      <c r="BX586"/>
      <c r="BY586"/>
      <c r="BZ586"/>
    </row>
    <row r="587" spans="4:78" x14ac:dyDescent="0.25">
      <c r="D587"/>
      <c r="E587"/>
      <c r="F587"/>
      <c r="G587"/>
      <c r="H587"/>
      <c r="I587"/>
      <c r="J587"/>
      <c r="K587"/>
      <c r="L587"/>
      <c r="M587"/>
      <c r="N587"/>
      <c r="O587"/>
      <c r="P587"/>
      <c r="Q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c r="BA587"/>
      <c r="BB587"/>
      <c r="BC587"/>
      <c r="BD587"/>
      <c r="BE587"/>
      <c r="BF587"/>
      <c r="BG587"/>
      <c r="BH587"/>
      <c r="BI587"/>
      <c r="BJ587"/>
      <c r="BK587"/>
      <c r="BL587"/>
      <c r="BM587"/>
      <c r="BN587"/>
      <c r="BO587"/>
      <c r="BP587"/>
      <c r="BQ587"/>
      <c r="BR587"/>
      <c r="BS587"/>
      <c r="BT587"/>
      <c r="BU587"/>
      <c r="BV587"/>
      <c r="BW587"/>
      <c r="BX587"/>
      <c r="BY587"/>
      <c r="BZ587"/>
    </row>
    <row r="588" spans="4:78" x14ac:dyDescent="0.25">
      <c r="D588"/>
      <c r="E588"/>
      <c r="F588"/>
      <c r="G588"/>
      <c r="H588"/>
      <c r="I588"/>
      <c r="J588"/>
      <c r="K588"/>
      <c r="L588"/>
      <c r="M588"/>
      <c r="N588"/>
      <c r="O588"/>
      <c r="P588"/>
      <c r="Q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c r="BA588"/>
      <c r="BB588"/>
      <c r="BC588"/>
      <c r="BD588"/>
      <c r="BE588"/>
      <c r="BF588"/>
      <c r="BG588"/>
      <c r="BH588"/>
      <c r="BI588"/>
      <c r="BJ588"/>
      <c r="BK588"/>
      <c r="BL588"/>
      <c r="BM588"/>
      <c r="BN588"/>
      <c r="BO588"/>
      <c r="BP588"/>
      <c r="BQ588"/>
      <c r="BR588"/>
      <c r="BS588"/>
      <c r="BT588"/>
      <c r="BU588"/>
      <c r="BV588"/>
      <c r="BW588"/>
      <c r="BX588"/>
      <c r="BY588"/>
      <c r="BZ588"/>
    </row>
    <row r="589" spans="4:78" x14ac:dyDescent="0.25">
      <c r="D589"/>
      <c r="E589"/>
      <c r="F589"/>
      <c r="G589"/>
      <c r="H589"/>
      <c r="I589"/>
      <c r="J589"/>
      <c r="K589"/>
      <c r="L589"/>
      <c r="M589"/>
      <c r="N589"/>
      <c r="O589"/>
      <c r="P589"/>
      <c r="Q589"/>
      <c r="R589"/>
      <c r="S589"/>
      <c r="T589"/>
      <c r="U589"/>
      <c r="V589"/>
      <c r="W589"/>
      <c r="X589"/>
      <c r="Y589"/>
      <c r="Z589"/>
      <c r="AA589"/>
      <c r="AB589"/>
      <c r="AC589"/>
      <c r="AD589"/>
      <c r="AE589"/>
      <c r="AF589"/>
      <c r="AG589"/>
      <c r="AH589"/>
      <c r="AI589"/>
      <c r="AJ589"/>
      <c r="AK589"/>
      <c r="AL589"/>
      <c r="AM589"/>
      <c r="AN589"/>
      <c r="AO589"/>
      <c r="AP589"/>
      <c r="AQ589"/>
      <c r="AR589"/>
      <c r="AS589"/>
      <c r="AT589"/>
      <c r="AU589"/>
      <c r="AV589"/>
      <c r="AW589"/>
      <c r="AX589"/>
      <c r="AY589"/>
      <c r="AZ589"/>
      <c r="BA589"/>
      <c r="BB589"/>
      <c r="BC589"/>
      <c r="BD589"/>
      <c r="BE589"/>
      <c r="BF589"/>
      <c r="BG589"/>
      <c r="BH589"/>
      <c r="BI589"/>
      <c r="BJ589"/>
      <c r="BK589"/>
      <c r="BL589"/>
      <c r="BM589"/>
      <c r="BN589"/>
      <c r="BO589"/>
      <c r="BP589"/>
      <c r="BQ589"/>
      <c r="BR589"/>
      <c r="BS589"/>
      <c r="BT589"/>
      <c r="BU589"/>
      <c r="BV589"/>
      <c r="BW589"/>
      <c r="BX589"/>
      <c r="BY589"/>
      <c r="BZ589"/>
    </row>
    <row r="590" spans="4:78" x14ac:dyDescent="0.25">
      <c r="D590"/>
      <c r="E590"/>
      <c r="F590"/>
      <c r="G590"/>
      <c r="H590"/>
      <c r="I590"/>
      <c r="J590"/>
      <c r="K590"/>
      <c r="L590"/>
      <c r="M590"/>
      <c r="N590"/>
      <c r="O590"/>
      <c r="P590"/>
      <c r="Q590"/>
      <c r="R590"/>
      <c r="S590"/>
      <c r="T590"/>
      <c r="U590"/>
      <c r="V590"/>
      <c r="W590"/>
      <c r="X590"/>
      <c r="Y590"/>
      <c r="Z590"/>
      <c r="AA590"/>
      <c r="AB590"/>
      <c r="AC590"/>
      <c r="AD590"/>
      <c r="AE590"/>
      <c r="AF590"/>
      <c r="AG590"/>
      <c r="AH590"/>
      <c r="AI590"/>
      <c r="AJ590"/>
      <c r="AK590"/>
      <c r="AL590"/>
      <c r="AM590"/>
      <c r="AN590"/>
      <c r="AO590"/>
      <c r="AP590"/>
      <c r="AQ590"/>
      <c r="AR590"/>
      <c r="AS590"/>
      <c r="AT590"/>
      <c r="AU590"/>
      <c r="AV590"/>
      <c r="AW590"/>
      <c r="AX590"/>
      <c r="AY590"/>
      <c r="AZ590"/>
      <c r="BA590"/>
      <c r="BB590"/>
      <c r="BC590"/>
      <c r="BD590"/>
      <c r="BE590"/>
      <c r="BF590"/>
      <c r="BG590"/>
      <c r="BH590"/>
      <c r="BI590"/>
      <c r="BJ590"/>
      <c r="BK590"/>
      <c r="BL590"/>
      <c r="BM590"/>
      <c r="BN590"/>
      <c r="BO590"/>
      <c r="BP590"/>
      <c r="BQ590"/>
      <c r="BR590"/>
      <c r="BS590"/>
      <c r="BT590"/>
      <c r="BU590"/>
      <c r="BV590"/>
      <c r="BW590"/>
      <c r="BX590"/>
      <c r="BY590"/>
      <c r="BZ590"/>
    </row>
    <row r="591" spans="4:78" x14ac:dyDescent="0.25">
      <c r="D591"/>
      <c r="E591"/>
      <c r="F591"/>
      <c r="G591"/>
      <c r="H591"/>
      <c r="I591"/>
      <c r="J591"/>
      <c r="K591"/>
      <c r="L591"/>
      <c r="M591"/>
      <c r="N591"/>
      <c r="O591"/>
      <c r="P591"/>
      <c r="Q591"/>
      <c r="R591"/>
      <c r="S591"/>
      <c r="T591"/>
      <c r="U591"/>
      <c r="V591"/>
      <c r="W591"/>
      <c r="X591"/>
      <c r="Y591"/>
      <c r="Z591"/>
      <c r="AA591"/>
      <c r="AB591"/>
      <c r="AC591"/>
      <c r="AD591"/>
      <c r="AE591"/>
      <c r="AF591"/>
      <c r="AG591"/>
      <c r="AH591"/>
      <c r="AI591"/>
      <c r="AJ591"/>
      <c r="AK591"/>
      <c r="AL591"/>
      <c r="AM591"/>
      <c r="AN591"/>
      <c r="AO591"/>
      <c r="AP591"/>
      <c r="AQ591"/>
      <c r="AR591"/>
      <c r="AS591"/>
      <c r="AT591"/>
      <c r="AU591"/>
      <c r="AV591"/>
      <c r="AW591"/>
      <c r="AX591"/>
      <c r="AY591"/>
      <c r="AZ591"/>
      <c r="BA591"/>
      <c r="BB591"/>
      <c r="BC591"/>
      <c r="BD591"/>
      <c r="BE591"/>
      <c r="BF591"/>
      <c r="BG591"/>
      <c r="BH591"/>
      <c r="BI591"/>
      <c r="BJ591"/>
      <c r="BK591"/>
      <c r="BL591"/>
      <c r="BM591"/>
      <c r="BN591"/>
      <c r="BO591"/>
      <c r="BP591"/>
      <c r="BQ591"/>
      <c r="BR591"/>
      <c r="BS591"/>
      <c r="BT591"/>
      <c r="BU591"/>
      <c r="BV591"/>
      <c r="BW591"/>
      <c r="BX591"/>
      <c r="BY591"/>
      <c r="BZ591"/>
    </row>
    <row r="592" spans="4:78" x14ac:dyDescent="0.25">
      <c r="D592"/>
      <c r="E592"/>
      <c r="F592"/>
      <c r="G592"/>
      <c r="H592"/>
      <c r="I592"/>
      <c r="J592"/>
      <c r="K592"/>
      <c r="L592"/>
      <c r="M592"/>
      <c r="N592"/>
      <c r="O592"/>
      <c r="P592"/>
      <c r="Q592"/>
      <c r="R592"/>
      <c r="S592"/>
      <c r="T592"/>
      <c r="U592"/>
      <c r="V592"/>
      <c r="W592"/>
      <c r="X592"/>
      <c r="Y592"/>
      <c r="Z592"/>
      <c r="AA592"/>
      <c r="AB592"/>
      <c r="AC592"/>
      <c r="AD592"/>
      <c r="AE592"/>
      <c r="AF592"/>
      <c r="AG592"/>
      <c r="AH592"/>
      <c r="AI592"/>
      <c r="AJ592"/>
      <c r="AK592"/>
      <c r="AL592"/>
      <c r="AM592"/>
      <c r="AN592"/>
      <c r="AO592"/>
      <c r="AP592"/>
      <c r="AQ592"/>
      <c r="AR592"/>
      <c r="AS592"/>
      <c r="AT592"/>
      <c r="AU592"/>
      <c r="AV592"/>
      <c r="AW592"/>
      <c r="AX592"/>
      <c r="AY592"/>
      <c r="AZ592"/>
      <c r="BA592"/>
      <c r="BB592"/>
      <c r="BC592"/>
      <c r="BD592"/>
      <c r="BE592"/>
      <c r="BF592"/>
      <c r="BG592"/>
      <c r="BH592"/>
      <c r="BI592"/>
      <c r="BJ592"/>
      <c r="BK592"/>
      <c r="BL592"/>
      <c r="BM592"/>
      <c r="BN592"/>
      <c r="BO592"/>
      <c r="BP592"/>
      <c r="BQ592"/>
      <c r="BR592"/>
      <c r="BS592"/>
      <c r="BT592"/>
      <c r="BU592"/>
      <c r="BV592"/>
      <c r="BW592"/>
      <c r="BX592"/>
      <c r="BY592"/>
      <c r="BZ592"/>
    </row>
    <row r="593" spans="4:78" x14ac:dyDescent="0.25">
      <c r="D593"/>
      <c r="E593"/>
      <c r="F593"/>
      <c r="G593"/>
      <c r="H593"/>
      <c r="I593"/>
      <c r="J593"/>
      <c r="K593"/>
      <c r="L593"/>
      <c r="M593"/>
      <c r="N593"/>
      <c r="O593"/>
      <c r="P593"/>
      <c r="Q593"/>
      <c r="R593"/>
      <c r="S593"/>
      <c r="T593"/>
      <c r="U593"/>
      <c r="V593"/>
      <c r="W593"/>
      <c r="X593"/>
      <c r="Y593"/>
      <c r="Z593"/>
      <c r="AA593"/>
      <c r="AB593"/>
      <c r="AC593"/>
      <c r="AD593"/>
      <c r="AE593"/>
      <c r="AF593"/>
      <c r="AG593"/>
      <c r="AH593"/>
      <c r="AI593"/>
      <c r="AJ593"/>
      <c r="AK593"/>
      <c r="AL593"/>
      <c r="AM593"/>
      <c r="AN593"/>
      <c r="AO593"/>
      <c r="AP593"/>
      <c r="AQ593"/>
      <c r="AR593"/>
      <c r="AS593"/>
      <c r="AT593"/>
      <c r="AU593"/>
      <c r="AV593"/>
      <c r="AW593"/>
      <c r="AX593"/>
      <c r="AY593"/>
      <c r="AZ593"/>
      <c r="BA593"/>
      <c r="BB593"/>
      <c r="BC593"/>
      <c r="BD593"/>
      <c r="BE593"/>
      <c r="BF593"/>
      <c r="BG593"/>
      <c r="BH593"/>
      <c r="BI593"/>
      <c r="BJ593"/>
      <c r="BK593"/>
      <c r="BL593"/>
      <c r="BM593"/>
      <c r="BN593"/>
      <c r="BO593"/>
      <c r="BP593"/>
      <c r="BQ593"/>
      <c r="BR593"/>
      <c r="BS593"/>
      <c r="BT593"/>
      <c r="BU593"/>
      <c r="BV593"/>
      <c r="BW593"/>
      <c r="BX593"/>
      <c r="BY593"/>
      <c r="BZ593"/>
    </row>
    <row r="594" spans="4:78" x14ac:dyDescent="0.25">
      <c r="D594"/>
      <c r="E594"/>
      <c r="F594"/>
      <c r="G594"/>
      <c r="H594"/>
      <c r="I594"/>
      <c r="J594"/>
      <c r="K594"/>
      <c r="L594"/>
      <c r="M594"/>
      <c r="N594"/>
      <c r="O594"/>
      <c r="P594"/>
      <c r="Q594"/>
      <c r="R594"/>
      <c r="S594"/>
      <c r="T594"/>
      <c r="U594"/>
      <c r="V594"/>
      <c r="W594"/>
      <c r="X594"/>
      <c r="Y594"/>
      <c r="Z594"/>
      <c r="AA594"/>
      <c r="AB594"/>
      <c r="AC594"/>
      <c r="AD594"/>
      <c r="AE594"/>
      <c r="AF594"/>
      <c r="AG594"/>
      <c r="AH594"/>
      <c r="AI594"/>
      <c r="AJ594"/>
      <c r="AK594"/>
      <c r="AL594"/>
      <c r="AM594"/>
      <c r="AN594"/>
      <c r="AO594"/>
      <c r="AP594"/>
      <c r="AQ594"/>
      <c r="AR594"/>
      <c r="AS594"/>
      <c r="AT594"/>
      <c r="AU594"/>
      <c r="AV594"/>
      <c r="AW594"/>
      <c r="AX594"/>
      <c r="AY594"/>
      <c r="AZ594"/>
      <c r="BA594"/>
      <c r="BB594"/>
      <c r="BC594"/>
      <c r="BD594"/>
      <c r="BE594"/>
      <c r="BF594"/>
      <c r="BG594"/>
      <c r="BH594"/>
      <c r="BI594"/>
      <c r="BJ594"/>
      <c r="BK594"/>
      <c r="BL594"/>
      <c r="BM594"/>
      <c r="BN594"/>
      <c r="BO594"/>
      <c r="BP594"/>
      <c r="BQ594"/>
      <c r="BR594"/>
      <c r="BS594"/>
      <c r="BT594"/>
      <c r="BU594"/>
      <c r="BV594"/>
      <c r="BW594"/>
      <c r="BX594"/>
      <c r="BY594"/>
      <c r="BZ594"/>
    </row>
    <row r="595" spans="4:78" x14ac:dyDescent="0.25">
      <c r="D595"/>
      <c r="E595"/>
      <c r="F595"/>
      <c r="G595"/>
      <c r="H595"/>
      <c r="I595"/>
      <c r="J595"/>
      <c r="K595"/>
      <c r="L595"/>
      <c r="M595"/>
      <c r="N595"/>
      <c r="O595"/>
      <c r="P595"/>
      <c r="Q595"/>
      <c r="R595"/>
      <c r="S595"/>
      <c r="T595"/>
      <c r="U595"/>
      <c r="V595"/>
      <c r="W595"/>
      <c r="X595"/>
      <c r="Y595"/>
      <c r="Z595"/>
      <c r="AA595"/>
      <c r="AB595"/>
      <c r="AC595"/>
      <c r="AD595"/>
      <c r="AE595"/>
      <c r="AF595"/>
      <c r="AG595"/>
      <c r="AH595"/>
      <c r="AI595"/>
      <c r="AJ595"/>
      <c r="AK595"/>
      <c r="AL595"/>
      <c r="AM595"/>
      <c r="AN595"/>
      <c r="AO595"/>
      <c r="AP595"/>
      <c r="AQ595"/>
      <c r="AR595"/>
      <c r="AS595"/>
      <c r="AT595"/>
      <c r="AU595"/>
      <c r="AV595"/>
      <c r="AW595"/>
      <c r="AX595"/>
      <c r="AY595"/>
      <c r="AZ595"/>
      <c r="BA595"/>
      <c r="BB595"/>
      <c r="BC595"/>
      <c r="BD595"/>
      <c r="BE595"/>
      <c r="BF595"/>
      <c r="BG595"/>
      <c r="BH595"/>
      <c r="BI595"/>
      <c r="BJ595"/>
      <c r="BK595"/>
      <c r="BL595"/>
      <c r="BM595"/>
      <c r="BN595"/>
      <c r="BO595"/>
      <c r="BP595"/>
      <c r="BQ595"/>
      <c r="BR595"/>
      <c r="BS595"/>
      <c r="BT595"/>
      <c r="BU595"/>
      <c r="BV595"/>
      <c r="BW595"/>
      <c r="BX595"/>
      <c r="BY595"/>
      <c r="BZ595"/>
    </row>
    <row r="596" spans="4:78" x14ac:dyDescent="0.25">
      <c r="D596"/>
      <c r="E596"/>
      <c r="F596"/>
      <c r="G596"/>
      <c r="H596"/>
      <c r="I596"/>
      <c r="J596"/>
      <c r="K596"/>
      <c r="L596"/>
      <c r="M596"/>
      <c r="N596"/>
      <c r="O596"/>
      <c r="P596"/>
      <c r="Q596"/>
      <c r="R596"/>
      <c r="S596"/>
      <c r="T596"/>
      <c r="U596"/>
      <c r="V596"/>
      <c r="W596"/>
      <c r="X596"/>
      <c r="Y596"/>
      <c r="Z596"/>
      <c r="AA596"/>
      <c r="AB596"/>
      <c r="AC596"/>
      <c r="AD596"/>
      <c r="AE596"/>
      <c r="AF596"/>
      <c r="AG596"/>
      <c r="AH596"/>
      <c r="AI596"/>
      <c r="AJ596"/>
      <c r="AK596"/>
      <c r="AL596"/>
      <c r="AM596"/>
      <c r="AN596"/>
      <c r="AO596"/>
      <c r="AP596"/>
      <c r="AQ596"/>
      <c r="AR596"/>
      <c r="AS596"/>
      <c r="AT596"/>
      <c r="AU596"/>
      <c r="AV596"/>
      <c r="AW596"/>
      <c r="AX596"/>
      <c r="AY596"/>
      <c r="AZ596"/>
      <c r="BA596"/>
      <c r="BB596"/>
      <c r="BC596"/>
      <c r="BD596"/>
      <c r="BE596"/>
      <c r="BF596"/>
      <c r="BG596"/>
      <c r="BH596"/>
      <c r="BI596"/>
      <c r="BJ596"/>
      <c r="BK596"/>
      <c r="BL596"/>
      <c r="BM596"/>
      <c r="BN596"/>
      <c r="BO596"/>
      <c r="BP596"/>
      <c r="BQ596"/>
      <c r="BR596"/>
      <c r="BS596"/>
      <c r="BT596"/>
      <c r="BU596"/>
      <c r="BV596"/>
      <c r="BW596"/>
      <c r="BX596"/>
      <c r="BY596"/>
      <c r="BZ596"/>
    </row>
    <row r="597" spans="4:78" x14ac:dyDescent="0.25">
      <c r="D597"/>
      <c r="E597"/>
      <c r="F597"/>
      <c r="G597"/>
      <c r="H597"/>
      <c r="I597"/>
      <c r="J597"/>
      <c r="K597"/>
      <c r="L597"/>
      <c r="M597"/>
      <c r="N597"/>
      <c r="O597"/>
      <c r="P597"/>
      <c r="Q597"/>
      <c r="R597"/>
      <c r="S597"/>
      <c r="T597"/>
      <c r="U597"/>
      <c r="V597"/>
      <c r="W597"/>
      <c r="X597"/>
      <c r="Y597"/>
      <c r="Z597"/>
      <c r="AA597"/>
      <c r="AB597"/>
      <c r="AC597"/>
      <c r="AD597"/>
      <c r="AE597"/>
      <c r="AF597"/>
      <c r="AG597"/>
      <c r="AH597"/>
      <c r="AI597"/>
      <c r="AJ597"/>
      <c r="AK597"/>
      <c r="AL597"/>
      <c r="AM597"/>
      <c r="AN597"/>
      <c r="AO597"/>
      <c r="AP597"/>
      <c r="AQ597"/>
      <c r="AR597"/>
      <c r="AS597"/>
      <c r="AT597"/>
      <c r="AU597"/>
      <c r="AV597"/>
      <c r="AW597"/>
      <c r="AX597"/>
      <c r="AY597"/>
      <c r="AZ597"/>
      <c r="BA597"/>
      <c r="BB597"/>
      <c r="BC597"/>
      <c r="BD597"/>
      <c r="BE597"/>
      <c r="BF597"/>
      <c r="BG597"/>
      <c r="BH597"/>
      <c r="BI597"/>
      <c r="BJ597"/>
      <c r="BK597"/>
      <c r="BL597"/>
      <c r="BM597"/>
      <c r="BN597"/>
      <c r="BO597"/>
      <c r="BP597"/>
      <c r="BQ597"/>
      <c r="BR597"/>
      <c r="BS597"/>
      <c r="BT597"/>
      <c r="BU597"/>
      <c r="BV597"/>
      <c r="BW597"/>
      <c r="BX597"/>
      <c r="BY597"/>
      <c r="BZ597"/>
    </row>
    <row r="598" spans="4:78" x14ac:dyDescent="0.25">
      <c r="D598"/>
      <c r="E598"/>
      <c r="F598"/>
      <c r="G598"/>
      <c r="H598"/>
      <c r="I598"/>
      <c r="J598"/>
      <c r="K598"/>
      <c r="L598"/>
      <c r="M598"/>
      <c r="N598"/>
      <c r="O598"/>
      <c r="P598"/>
      <c r="Q598"/>
      <c r="R598"/>
      <c r="S598"/>
      <c r="T598"/>
      <c r="U598"/>
      <c r="V598"/>
      <c r="W598"/>
      <c r="X598"/>
      <c r="Y598"/>
      <c r="Z598"/>
      <c r="AA598"/>
      <c r="AB598"/>
      <c r="AC598"/>
      <c r="AD598"/>
      <c r="AE598"/>
      <c r="AF598"/>
      <c r="AG598"/>
      <c r="AH598"/>
      <c r="AI598"/>
      <c r="AJ598"/>
      <c r="AK598"/>
      <c r="AL598"/>
      <c r="AM598"/>
      <c r="AN598"/>
      <c r="AO598"/>
      <c r="AP598"/>
      <c r="AQ598"/>
      <c r="AR598"/>
      <c r="AS598"/>
      <c r="AT598"/>
      <c r="AU598"/>
      <c r="AV598"/>
      <c r="AW598"/>
      <c r="AX598"/>
      <c r="AY598"/>
      <c r="AZ598"/>
      <c r="BA598"/>
      <c r="BB598"/>
      <c r="BC598"/>
      <c r="BD598"/>
      <c r="BE598"/>
      <c r="BF598"/>
      <c r="BG598"/>
      <c r="BH598"/>
      <c r="BI598"/>
      <c r="BJ598"/>
      <c r="BK598"/>
      <c r="BL598"/>
      <c r="BM598"/>
      <c r="BN598"/>
      <c r="BO598"/>
      <c r="BP598"/>
      <c r="BQ598"/>
      <c r="BR598"/>
      <c r="BS598"/>
      <c r="BT598"/>
      <c r="BU598"/>
      <c r="BV598"/>
      <c r="BW598"/>
      <c r="BX598"/>
      <c r="BY598"/>
      <c r="BZ598"/>
    </row>
    <row r="599" spans="4:78" x14ac:dyDescent="0.25">
      <c r="D599"/>
      <c r="E599"/>
      <c r="F599"/>
      <c r="G599"/>
      <c r="H599"/>
      <c r="I599"/>
      <c r="J599"/>
      <c r="K599"/>
      <c r="L599"/>
      <c r="M599"/>
      <c r="N599"/>
      <c r="O599"/>
      <c r="P599"/>
      <c r="Q599"/>
      <c r="R599"/>
      <c r="S599"/>
      <c r="T599"/>
      <c r="U599"/>
      <c r="V599"/>
      <c r="W599"/>
      <c r="X599"/>
      <c r="Y599"/>
      <c r="Z599"/>
      <c r="AA599"/>
      <c r="AB599"/>
      <c r="AC599"/>
      <c r="AD599"/>
      <c r="AE599"/>
      <c r="AF599"/>
      <c r="AG599"/>
      <c r="AH599"/>
      <c r="AI599"/>
      <c r="AJ599"/>
      <c r="AK599"/>
      <c r="AL599"/>
      <c r="AM599"/>
      <c r="AN599"/>
      <c r="AO599"/>
      <c r="AP599"/>
      <c r="AQ599"/>
      <c r="AR599"/>
      <c r="AS599"/>
      <c r="AT599"/>
      <c r="AU599"/>
      <c r="AV599"/>
      <c r="AW599"/>
      <c r="AX599"/>
      <c r="AY599"/>
      <c r="AZ599"/>
      <c r="BA599"/>
      <c r="BB599"/>
      <c r="BC599"/>
      <c r="BD599"/>
      <c r="BE599"/>
      <c r="BF599"/>
      <c r="BG599"/>
      <c r="BH599"/>
      <c r="BI599"/>
      <c r="BJ599"/>
      <c r="BK599"/>
      <c r="BL599"/>
      <c r="BM599"/>
      <c r="BN599"/>
      <c r="BO599"/>
      <c r="BP599"/>
      <c r="BQ599"/>
      <c r="BR599"/>
      <c r="BS599"/>
      <c r="BT599"/>
      <c r="BU599"/>
      <c r="BV599"/>
      <c r="BW599"/>
      <c r="BX599"/>
      <c r="BY599"/>
      <c r="BZ599"/>
    </row>
    <row r="600" spans="4:78" x14ac:dyDescent="0.25">
      <c r="D600"/>
      <c r="E600"/>
      <c r="F600"/>
      <c r="G600"/>
      <c r="H600"/>
      <c r="I600"/>
      <c r="J600"/>
      <c r="K600"/>
      <c r="L600"/>
      <c r="M600"/>
      <c r="N600"/>
      <c r="O600"/>
      <c r="P600"/>
      <c r="Q600"/>
      <c r="R600"/>
      <c r="S600"/>
      <c r="T600"/>
      <c r="U600"/>
      <c r="V600"/>
      <c r="W600"/>
      <c r="X600"/>
      <c r="Y600"/>
      <c r="Z600"/>
      <c r="AA600"/>
      <c r="AB600"/>
      <c r="AC600"/>
      <c r="AD600"/>
      <c r="AE600"/>
      <c r="AF600"/>
      <c r="AG600"/>
      <c r="AH600"/>
      <c r="AI600"/>
      <c r="AJ600"/>
      <c r="AK600"/>
      <c r="AL600"/>
      <c r="AM600"/>
      <c r="AN600"/>
      <c r="AO600"/>
      <c r="AP600"/>
      <c r="AQ600"/>
      <c r="AR600"/>
      <c r="AS600"/>
      <c r="AT600"/>
      <c r="AU600"/>
      <c r="AV600"/>
      <c r="AW600"/>
      <c r="AX600"/>
      <c r="AY600"/>
      <c r="AZ600"/>
      <c r="BA600"/>
      <c r="BB600"/>
      <c r="BC600"/>
      <c r="BD600"/>
      <c r="BE600"/>
      <c r="BF600"/>
      <c r="BG600"/>
      <c r="BH600"/>
      <c r="BI600"/>
      <c r="BJ600"/>
      <c r="BK600"/>
      <c r="BL600"/>
      <c r="BM600"/>
      <c r="BN600"/>
      <c r="BO600"/>
      <c r="BP600"/>
      <c r="BQ600"/>
      <c r="BR600"/>
      <c r="BS600"/>
      <c r="BT600"/>
      <c r="BU600"/>
      <c r="BV600"/>
      <c r="BW600"/>
      <c r="BX600"/>
      <c r="BY600"/>
      <c r="BZ600"/>
    </row>
    <row r="601" spans="4:78" x14ac:dyDescent="0.25">
      <c r="D601"/>
      <c r="E601"/>
      <c r="F601"/>
      <c r="G601"/>
      <c r="H601"/>
      <c r="I601"/>
      <c r="J601"/>
      <c r="K601"/>
      <c r="L601"/>
      <c r="M601"/>
      <c r="N601"/>
      <c r="O601"/>
      <c r="P601"/>
      <c r="Q601"/>
      <c r="R601"/>
      <c r="S601"/>
      <c r="T601"/>
      <c r="U601"/>
      <c r="V601"/>
      <c r="W601"/>
      <c r="X601"/>
      <c r="Y601"/>
      <c r="Z601"/>
      <c r="AA601"/>
      <c r="AB601"/>
      <c r="AC601"/>
      <c r="AD601"/>
      <c r="AE601"/>
      <c r="AF601"/>
      <c r="AG601"/>
      <c r="AH601"/>
      <c r="AI601"/>
      <c r="AJ601"/>
      <c r="AK601"/>
      <c r="AL601"/>
      <c r="AM601"/>
      <c r="AN601"/>
      <c r="AO601"/>
      <c r="AP601"/>
      <c r="AQ601"/>
      <c r="AR601"/>
      <c r="AS601"/>
      <c r="AT601"/>
      <c r="AU601"/>
      <c r="AV601"/>
      <c r="AW601"/>
      <c r="AX601"/>
      <c r="AY601"/>
      <c r="AZ601"/>
      <c r="BA601"/>
      <c r="BB601"/>
      <c r="BC601"/>
      <c r="BD601"/>
      <c r="BE601"/>
      <c r="BF601"/>
      <c r="BG601"/>
      <c r="BH601"/>
      <c r="BI601"/>
      <c r="BJ601"/>
      <c r="BK601"/>
      <c r="BL601"/>
      <c r="BM601"/>
      <c r="BN601"/>
      <c r="BO601"/>
      <c r="BP601"/>
      <c r="BQ601"/>
      <c r="BR601"/>
      <c r="BS601"/>
      <c r="BT601"/>
      <c r="BU601"/>
      <c r="BV601"/>
      <c r="BW601"/>
      <c r="BX601"/>
      <c r="BY601"/>
      <c r="BZ601"/>
    </row>
    <row r="602" spans="4:78" x14ac:dyDescent="0.25">
      <c r="D602"/>
      <c r="E602"/>
      <c r="F602"/>
      <c r="G602"/>
      <c r="H602"/>
      <c r="I602"/>
      <c r="J602"/>
      <c r="K602"/>
      <c r="L602"/>
      <c r="M602"/>
      <c r="N602"/>
      <c r="O602"/>
      <c r="P602"/>
      <c r="Q602"/>
      <c r="R602"/>
      <c r="S602"/>
      <c r="T602"/>
      <c r="U602"/>
      <c r="V602"/>
      <c r="W602"/>
      <c r="X602"/>
      <c r="Y602"/>
      <c r="Z602"/>
      <c r="AA602"/>
      <c r="AB602"/>
      <c r="AC602"/>
      <c r="AD602"/>
      <c r="AE602"/>
      <c r="AF602"/>
      <c r="AG602"/>
      <c r="AH602"/>
      <c r="AI602"/>
      <c r="AJ602"/>
      <c r="AK602"/>
      <c r="AL602"/>
      <c r="AM602"/>
      <c r="AN602"/>
      <c r="AO602"/>
      <c r="AP602"/>
      <c r="AQ602"/>
      <c r="AR602"/>
      <c r="AS602"/>
      <c r="AT602"/>
      <c r="AU602"/>
      <c r="AV602"/>
      <c r="AW602"/>
      <c r="AX602"/>
      <c r="AY602"/>
      <c r="AZ602"/>
      <c r="BA602"/>
      <c r="BB602"/>
      <c r="BC602"/>
      <c r="BD602"/>
      <c r="BE602"/>
      <c r="BF602"/>
      <c r="BG602"/>
      <c r="BH602"/>
      <c r="BI602"/>
      <c r="BJ602"/>
      <c r="BK602"/>
      <c r="BL602"/>
      <c r="BM602"/>
      <c r="BN602"/>
      <c r="BO602"/>
      <c r="BP602"/>
      <c r="BQ602"/>
      <c r="BR602"/>
      <c r="BS602"/>
      <c r="BT602"/>
      <c r="BU602"/>
      <c r="BV602"/>
      <c r="BW602"/>
      <c r="BX602"/>
      <c r="BY602"/>
      <c r="BZ602"/>
    </row>
    <row r="603" spans="4:78" x14ac:dyDescent="0.25">
      <c r="D603"/>
      <c r="E603"/>
      <c r="F603"/>
      <c r="G603"/>
      <c r="H603"/>
      <c r="I603"/>
      <c r="J603"/>
      <c r="K603"/>
      <c r="L603"/>
      <c r="M603"/>
      <c r="N603"/>
      <c r="O603"/>
      <c r="P603"/>
      <c r="Q603"/>
      <c r="R603"/>
      <c r="S603"/>
      <c r="T603"/>
      <c r="U603"/>
      <c r="V603"/>
      <c r="W603"/>
      <c r="X603"/>
      <c r="Y603"/>
      <c r="Z603"/>
      <c r="AA603"/>
      <c r="AB603"/>
      <c r="AC603"/>
      <c r="AD603"/>
      <c r="AE603"/>
      <c r="AF603"/>
      <c r="AG603"/>
      <c r="AH603"/>
      <c r="AI603"/>
      <c r="AJ603"/>
      <c r="AK603"/>
      <c r="AL603"/>
      <c r="AM603"/>
      <c r="AN603"/>
      <c r="AO603"/>
      <c r="AP603"/>
      <c r="AQ603"/>
      <c r="AR603"/>
      <c r="AS603"/>
      <c r="AT603"/>
      <c r="AU603"/>
      <c r="AV603"/>
      <c r="AW603"/>
      <c r="AX603"/>
      <c r="AY603"/>
      <c r="AZ603"/>
      <c r="BA603"/>
      <c r="BB603"/>
      <c r="BC603"/>
      <c r="BD603"/>
      <c r="BE603"/>
      <c r="BF603"/>
      <c r="BG603"/>
      <c r="BH603"/>
      <c r="BI603"/>
      <c r="BJ603"/>
      <c r="BK603"/>
      <c r="BL603"/>
      <c r="BM603"/>
      <c r="BN603"/>
      <c r="BO603"/>
      <c r="BP603"/>
      <c r="BQ603"/>
      <c r="BR603"/>
      <c r="BS603"/>
      <c r="BT603"/>
      <c r="BU603"/>
      <c r="BV603"/>
      <c r="BW603"/>
      <c r="BX603"/>
      <c r="BY603"/>
      <c r="BZ603"/>
    </row>
    <row r="604" spans="4:78" x14ac:dyDescent="0.25">
      <c r="D604"/>
      <c r="E604"/>
      <c r="F604"/>
      <c r="G604"/>
      <c r="H604"/>
      <c r="I604"/>
      <c r="J604"/>
      <c r="K604"/>
      <c r="L604"/>
      <c r="M604"/>
      <c r="N604"/>
      <c r="O604"/>
      <c r="P604"/>
      <c r="Q604"/>
      <c r="R604"/>
      <c r="S604"/>
      <c r="T604"/>
      <c r="U604"/>
      <c r="V604"/>
      <c r="W604"/>
      <c r="X604"/>
      <c r="Y604"/>
      <c r="Z604"/>
      <c r="AA604"/>
      <c r="AB604"/>
      <c r="AC604"/>
      <c r="AD604"/>
      <c r="AE604"/>
      <c r="AF604"/>
      <c r="AG604"/>
      <c r="AH604"/>
      <c r="AI604"/>
      <c r="AJ604"/>
      <c r="AK604"/>
      <c r="AL604"/>
      <c r="AM604"/>
      <c r="AN604"/>
      <c r="AO604"/>
      <c r="AP604"/>
      <c r="AQ604"/>
      <c r="AR604"/>
      <c r="AS604"/>
      <c r="AT604"/>
      <c r="AU604"/>
      <c r="AV604"/>
      <c r="AW604"/>
      <c r="AX604"/>
      <c r="AY604"/>
      <c r="AZ604"/>
      <c r="BA604"/>
      <c r="BB604"/>
      <c r="BC604"/>
      <c r="BD604"/>
      <c r="BE604"/>
      <c r="BF604"/>
      <c r="BG604"/>
      <c r="BH604"/>
      <c r="BI604"/>
      <c r="BJ604"/>
      <c r="BK604"/>
      <c r="BL604"/>
      <c r="BM604"/>
      <c r="BN604"/>
      <c r="BO604"/>
      <c r="BP604"/>
      <c r="BQ604"/>
      <c r="BR604"/>
      <c r="BS604"/>
      <c r="BT604"/>
      <c r="BU604"/>
      <c r="BV604"/>
      <c r="BW604"/>
      <c r="BX604"/>
      <c r="BY604"/>
      <c r="BZ604"/>
    </row>
    <row r="605" spans="4:78" x14ac:dyDescent="0.25">
      <c r="D605"/>
      <c r="E605"/>
      <c r="F605"/>
      <c r="G605"/>
      <c r="H605"/>
      <c r="I605"/>
      <c r="J605"/>
      <c r="K605"/>
      <c r="L605"/>
      <c r="M605"/>
      <c r="N605"/>
      <c r="O605"/>
      <c r="P605"/>
      <c r="Q605"/>
      <c r="R605"/>
      <c r="S605"/>
      <c r="T605"/>
      <c r="U605"/>
      <c r="V605"/>
      <c r="W605"/>
      <c r="X605"/>
      <c r="Y605"/>
      <c r="Z605"/>
      <c r="AA605"/>
      <c r="AB605"/>
      <c r="AC605"/>
      <c r="AD605"/>
      <c r="AE605"/>
      <c r="AF605"/>
      <c r="AG605"/>
      <c r="AH605"/>
      <c r="AI605"/>
      <c r="AJ605"/>
      <c r="AK605"/>
      <c r="AL605"/>
      <c r="AM605"/>
      <c r="AN605"/>
      <c r="AO605"/>
      <c r="AP605"/>
      <c r="AQ605"/>
      <c r="AR605"/>
      <c r="AS605"/>
      <c r="AT605"/>
      <c r="AU605"/>
      <c r="AV605"/>
      <c r="AW605"/>
      <c r="AX605"/>
      <c r="AY605"/>
      <c r="AZ605"/>
      <c r="BA605"/>
      <c r="BB605"/>
      <c r="BC605"/>
      <c r="BD605"/>
      <c r="BE605"/>
      <c r="BF605"/>
      <c r="BG605"/>
      <c r="BH605"/>
      <c r="BI605"/>
      <c r="BJ605"/>
      <c r="BK605"/>
      <c r="BL605"/>
      <c r="BM605"/>
      <c r="BN605"/>
      <c r="BO605"/>
      <c r="BP605"/>
      <c r="BQ605"/>
      <c r="BR605"/>
      <c r="BS605"/>
      <c r="BT605"/>
      <c r="BU605"/>
      <c r="BV605"/>
      <c r="BW605"/>
      <c r="BX605"/>
      <c r="BY605"/>
      <c r="BZ605"/>
    </row>
    <row r="606" spans="4:78" x14ac:dyDescent="0.25">
      <c r="D606"/>
      <c r="E606"/>
      <c r="F606"/>
      <c r="G606"/>
      <c r="H606"/>
      <c r="I606"/>
      <c r="J606"/>
      <c r="K606"/>
      <c r="L606"/>
      <c r="M606"/>
      <c r="N606"/>
      <c r="O606"/>
      <c r="P606"/>
      <c r="Q606"/>
      <c r="R606"/>
      <c r="S606"/>
      <c r="T606"/>
      <c r="U606"/>
      <c r="V606"/>
      <c r="W606"/>
      <c r="X606"/>
      <c r="Y606"/>
      <c r="Z606"/>
      <c r="AA606"/>
      <c r="AB606"/>
      <c r="AC606"/>
      <c r="AD606"/>
      <c r="AE606"/>
      <c r="AF606"/>
      <c r="AG606"/>
      <c r="AH606"/>
      <c r="AI606"/>
      <c r="AJ606"/>
      <c r="AK606"/>
      <c r="AL606"/>
      <c r="AM606"/>
      <c r="AN606"/>
      <c r="AO606"/>
      <c r="AP606"/>
      <c r="AQ606"/>
      <c r="AR606"/>
      <c r="AS606"/>
      <c r="AT606"/>
      <c r="AU606"/>
      <c r="AV606"/>
      <c r="AW606"/>
      <c r="AX606"/>
      <c r="AY606"/>
      <c r="AZ606"/>
      <c r="BA606"/>
      <c r="BB606"/>
      <c r="BC606"/>
      <c r="BD606"/>
      <c r="BE606"/>
      <c r="BF606"/>
      <c r="BG606"/>
      <c r="BH606"/>
      <c r="BI606"/>
      <c r="BJ606"/>
      <c r="BK606"/>
      <c r="BL606"/>
      <c r="BM606"/>
      <c r="BN606"/>
      <c r="BO606"/>
      <c r="BP606"/>
      <c r="BQ606"/>
      <c r="BR606"/>
      <c r="BS606"/>
      <c r="BT606"/>
      <c r="BU606"/>
      <c r="BV606"/>
      <c r="BW606"/>
      <c r="BX606"/>
      <c r="BY606"/>
      <c r="BZ606"/>
    </row>
    <row r="607" spans="4:78" x14ac:dyDescent="0.25">
      <c r="D607"/>
      <c r="E607"/>
      <c r="F607"/>
      <c r="G607"/>
      <c r="H607"/>
      <c r="I607"/>
      <c r="J607"/>
      <c r="K607"/>
      <c r="L607"/>
      <c r="M607"/>
      <c r="N607"/>
      <c r="O607"/>
      <c r="P607"/>
      <c r="Q607"/>
      <c r="R607"/>
      <c r="S607"/>
      <c r="T607"/>
      <c r="U607"/>
      <c r="V607"/>
      <c r="W607"/>
      <c r="X607"/>
      <c r="Y607"/>
      <c r="Z607"/>
      <c r="AA607"/>
      <c r="AB607"/>
      <c r="AC607"/>
      <c r="AD607"/>
      <c r="AE607"/>
      <c r="AF607"/>
      <c r="AG607"/>
      <c r="AH607"/>
      <c r="AI607"/>
      <c r="AJ607"/>
      <c r="AK607"/>
      <c r="AL607"/>
      <c r="AM607"/>
      <c r="AN607"/>
      <c r="AO607"/>
      <c r="AP607"/>
      <c r="AQ607"/>
      <c r="AR607"/>
      <c r="AS607"/>
      <c r="AT607"/>
      <c r="AU607"/>
      <c r="AV607"/>
      <c r="AW607"/>
      <c r="AX607"/>
      <c r="AY607"/>
      <c r="AZ607"/>
      <c r="BA607"/>
      <c r="BB607"/>
      <c r="BC607"/>
      <c r="BD607"/>
      <c r="BE607"/>
      <c r="BF607"/>
      <c r="BG607"/>
      <c r="BH607"/>
      <c r="BI607"/>
      <c r="BJ607"/>
      <c r="BK607"/>
      <c r="BL607"/>
      <c r="BM607"/>
      <c r="BN607"/>
      <c r="BO607"/>
      <c r="BP607"/>
      <c r="BQ607"/>
      <c r="BR607"/>
      <c r="BS607"/>
      <c r="BT607"/>
      <c r="BU607"/>
      <c r="BV607"/>
      <c r="BW607"/>
      <c r="BX607"/>
      <c r="BY607"/>
      <c r="BZ607"/>
    </row>
    <row r="608" spans="4:78" x14ac:dyDescent="0.25">
      <c r="D608"/>
      <c r="E608"/>
      <c r="F608"/>
      <c r="G608"/>
      <c r="H608"/>
      <c r="I608"/>
      <c r="J608"/>
      <c r="K608"/>
      <c r="L608"/>
      <c r="M608"/>
      <c r="N608"/>
      <c r="O608"/>
      <c r="P608"/>
      <c r="Q608"/>
      <c r="R608"/>
      <c r="S608"/>
      <c r="T608"/>
      <c r="U608"/>
      <c r="V608"/>
      <c r="W608"/>
      <c r="X608"/>
      <c r="Y608"/>
      <c r="Z608"/>
      <c r="AA608"/>
      <c r="AB608"/>
      <c r="AC608"/>
      <c r="AD608"/>
      <c r="AE608"/>
      <c r="AF608"/>
      <c r="AG608"/>
      <c r="AH608"/>
      <c r="AI608"/>
      <c r="AJ608"/>
      <c r="AK608"/>
      <c r="AL608"/>
      <c r="AM608"/>
      <c r="AN608"/>
      <c r="AO608"/>
      <c r="AP608"/>
      <c r="AQ608"/>
      <c r="AR608"/>
      <c r="AS608"/>
      <c r="AT608"/>
      <c r="AU608"/>
      <c r="AV608"/>
      <c r="AW608"/>
      <c r="AX608"/>
      <c r="AY608"/>
      <c r="AZ608"/>
      <c r="BA608"/>
      <c r="BB608"/>
      <c r="BC608"/>
      <c r="BD608"/>
      <c r="BE608"/>
      <c r="BF608"/>
      <c r="BG608"/>
      <c r="BH608"/>
      <c r="BI608"/>
      <c r="BJ608"/>
      <c r="BK608"/>
      <c r="BL608"/>
      <c r="BM608"/>
      <c r="BN608"/>
      <c r="BO608"/>
      <c r="BP608"/>
      <c r="BQ608"/>
      <c r="BR608"/>
      <c r="BS608"/>
      <c r="BT608"/>
      <c r="BU608"/>
      <c r="BV608"/>
      <c r="BW608"/>
      <c r="BX608"/>
      <c r="BY608"/>
      <c r="BZ608"/>
    </row>
    <row r="609" spans="4:78" x14ac:dyDescent="0.25">
      <c r="D609"/>
      <c r="E609"/>
      <c r="F609"/>
      <c r="G609"/>
      <c r="H609"/>
      <c r="I609"/>
      <c r="J609"/>
      <c r="K609"/>
      <c r="L609"/>
      <c r="M609"/>
      <c r="N609"/>
      <c r="O609"/>
      <c r="P609"/>
      <c r="Q609"/>
      <c r="R609"/>
      <c r="S609"/>
      <c r="T609"/>
      <c r="U609"/>
      <c r="V609"/>
      <c r="W609"/>
      <c r="X609"/>
      <c r="Y609"/>
      <c r="Z609"/>
      <c r="AA609"/>
      <c r="AB609"/>
      <c r="AC609"/>
      <c r="AD609"/>
      <c r="AE609"/>
      <c r="AF609"/>
      <c r="AG609"/>
      <c r="AH609"/>
      <c r="AI609"/>
      <c r="AJ609"/>
      <c r="AK609"/>
      <c r="AL609"/>
      <c r="AM609"/>
      <c r="AN609"/>
      <c r="AO609"/>
      <c r="AP609"/>
      <c r="AQ609"/>
      <c r="AR609"/>
      <c r="AS609"/>
      <c r="AT609"/>
      <c r="AU609"/>
      <c r="AV609"/>
      <c r="AW609"/>
      <c r="AX609"/>
      <c r="AY609"/>
      <c r="AZ609"/>
      <c r="BA609"/>
      <c r="BB609"/>
      <c r="BC609"/>
      <c r="BD609"/>
      <c r="BE609"/>
      <c r="BF609"/>
      <c r="BG609"/>
      <c r="BH609"/>
      <c r="BI609"/>
      <c r="BJ609"/>
      <c r="BK609"/>
      <c r="BL609"/>
      <c r="BM609"/>
      <c r="BN609"/>
      <c r="BO609"/>
      <c r="BP609"/>
      <c r="BQ609"/>
      <c r="BR609"/>
      <c r="BS609"/>
      <c r="BT609"/>
      <c r="BU609"/>
      <c r="BV609"/>
      <c r="BW609"/>
      <c r="BX609"/>
      <c r="BY609"/>
      <c r="BZ609"/>
    </row>
    <row r="610" spans="4:78" x14ac:dyDescent="0.25">
      <c r="D610"/>
      <c r="E610"/>
      <c r="F610"/>
      <c r="G610"/>
      <c r="H610"/>
      <c r="I610"/>
      <c r="J610"/>
      <c r="K610"/>
      <c r="L610"/>
      <c r="M610"/>
      <c r="N610"/>
      <c r="O610"/>
      <c r="P610"/>
      <c r="Q610"/>
      <c r="R610"/>
      <c r="S610"/>
      <c r="T610"/>
      <c r="U610"/>
      <c r="V610"/>
      <c r="W610"/>
      <c r="X610"/>
      <c r="Y610"/>
      <c r="Z610"/>
      <c r="AA610"/>
      <c r="AB610"/>
      <c r="AC610"/>
      <c r="AD610"/>
      <c r="AE610"/>
      <c r="AF610"/>
      <c r="AG610"/>
      <c r="AH610"/>
      <c r="AI610"/>
      <c r="AJ610"/>
      <c r="AK610"/>
      <c r="AL610"/>
      <c r="AM610"/>
      <c r="AN610"/>
      <c r="AO610"/>
      <c r="AP610"/>
      <c r="AQ610"/>
      <c r="AR610"/>
      <c r="AS610"/>
      <c r="AT610"/>
      <c r="AU610"/>
      <c r="AV610"/>
      <c r="AW610"/>
      <c r="AX610"/>
      <c r="AY610"/>
      <c r="AZ610"/>
      <c r="BA610"/>
      <c r="BB610"/>
      <c r="BC610"/>
      <c r="BD610"/>
      <c r="BE610"/>
      <c r="BF610"/>
      <c r="BG610"/>
      <c r="BH610"/>
      <c r="BI610"/>
      <c r="BJ610"/>
      <c r="BK610"/>
      <c r="BL610"/>
      <c r="BM610"/>
      <c r="BN610"/>
      <c r="BO610"/>
      <c r="BP610"/>
      <c r="BQ610"/>
      <c r="BR610"/>
      <c r="BS610"/>
      <c r="BT610"/>
      <c r="BU610"/>
      <c r="BV610"/>
      <c r="BW610"/>
      <c r="BX610"/>
      <c r="BY610"/>
      <c r="BZ610"/>
    </row>
    <row r="611" spans="4:78" x14ac:dyDescent="0.25">
      <c r="D611"/>
      <c r="E611"/>
      <c r="F611"/>
      <c r="G611"/>
      <c r="H611"/>
      <c r="I611"/>
      <c r="J611"/>
      <c r="K611"/>
      <c r="L611"/>
      <c r="M611"/>
      <c r="N611"/>
      <c r="O611"/>
      <c r="P611"/>
      <c r="Q611"/>
      <c r="R611"/>
      <c r="S611"/>
      <c r="T611"/>
      <c r="U611"/>
      <c r="V611"/>
      <c r="W611"/>
      <c r="X611"/>
      <c r="Y611"/>
      <c r="Z611"/>
      <c r="AA611"/>
      <c r="AB611"/>
      <c r="AC611"/>
      <c r="AD611"/>
      <c r="AE611"/>
      <c r="AF611"/>
      <c r="AG611"/>
      <c r="AH611"/>
      <c r="AI611"/>
      <c r="AJ611"/>
      <c r="AK611"/>
      <c r="AL611"/>
      <c r="AM611"/>
      <c r="AN611"/>
      <c r="AO611"/>
      <c r="AP611"/>
      <c r="AQ611"/>
      <c r="AR611"/>
      <c r="AS611"/>
      <c r="AT611"/>
      <c r="AU611"/>
      <c r="AV611"/>
      <c r="AW611"/>
      <c r="AX611"/>
      <c r="AY611"/>
      <c r="AZ611"/>
      <c r="BA611"/>
      <c r="BB611"/>
      <c r="BC611"/>
      <c r="BD611"/>
      <c r="BE611"/>
      <c r="BF611"/>
      <c r="BG611"/>
      <c r="BH611"/>
      <c r="BI611"/>
      <c r="BJ611"/>
      <c r="BK611"/>
      <c r="BL611"/>
      <c r="BM611"/>
      <c r="BN611"/>
      <c r="BO611"/>
      <c r="BP611"/>
      <c r="BQ611"/>
      <c r="BR611"/>
      <c r="BS611"/>
      <c r="BT611"/>
      <c r="BU611"/>
      <c r="BV611"/>
      <c r="BW611"/>
      <c r="BX611"/>
      <c r="BY611"/>
      <c r="BZ611"/>
    </row>
    <row r="612" spans="4:78" x14ac:dyDescent="0.25">
      <c r="D612"/>
      <c r="E612"/>
      <c r="F612"/>
      <c r="G612"/>
      <c r="H612"/>
      <c r="I612"/>
      <c r="J612"/>
      <c r="K612"/>
      <c r="L612"/>
      <c r="M612"/>
      <c r="N612"/>
      <c r="O612"/>
      <c r="P612"/>
      <c r="Q612"/>
      <c r="R612"/>
      <c r="S612"/>
      <c r="T612"/>
      <c r="U612"/>
      <c r="V612"/>
      <c r="W612"/>
      <c r="X612"/>
      <c r="Y612"/>
      <c r="Z612"/>
      <c r="AA612"/>
      <c r="AB612"/>
      <c r="AC612"/>
      <c r="AD612"/>
      <c r="AE612"/>
      <c r="AF612"/>
      <c r="AG612"/>
      <c r="AH612"/>
      <c r="AI612"/>
      <c r="AJ612"/>
      <c r="AK612"/>
      <c r="AL612"/>
      <c r="AM612"/>
      <c r="AN612"/>
      <c r="AO612"/>
      <c r="AP612"/>
      <c r="AQ612"/>
      <c r="AR612"/>
      <c r="AS612"/>
      <c r="AT612"/>
      <c r="AU612"/>
      <c r="AV612"/>
      <c r="AW612"/>
      <c r="AX612"/>
      <c r="AY612"/>
      <c r="AZ612"/>
      <c r="BA612"/>
      <c r="BB612"/>
      <c r="BC612"/>
      <c r="BD612"/>
      <c r="BE612"/>
      <c r="BF612"/>
      <c r="BG612"/>
      <c r="BH612"/>
      <c r="BI612"/>
      <c r="BJ612"/>
      <c r="BK612"/>
      <c r="BL612"/>
      <c r="BM612"/>
      <c r="BN612"/>
      <c r="BO612"/>
      <c r="BP612"/>
      <c r="BQ612"/>
      <c r="BR612"/>
      <c r="BS612"/>
      <c r="BT612"/>
      <c r="BU612"/>
      <c r="BV612"/>
      <c r="BW612"/>
      <c r="BX612"/>
      <c r="BY612"/>
      <c r="BZ612"/>
    </row>
    <row r="613" spans="4:78" x14ac:dyDescent="0.25">
      <c r="D613"/>
      <c r="E613"/>
      <c r="F613"/>
      <c r="G613"/>
      <c r="H613"/>
      <c r="I613"/>
      <c r="J613"/>
      <c r="K613"/>
      <c r="L613"/>
      <c r="M613"/>
      <c r="N613"/>
      <c r="O613"/>
      <c r="P613"/>
      <c r="Q613"/>
      <c r="R613"/>
      <c r="S613"/>
      <c r="T613"/>
      <c r="U613"/>
      <c r="V613"/>
      <c r="W613"/>
      <c r="X613"/>
      <c r="Y613"/>
      <c r="Z613"/>
      <c r="AA613"/>
      <c r="AB613"/>
      <c r="AC613"/>
      <c r="AD613"/>
      <c r="AE613"/>
      <c r="AF613"/>
      <c r="AG613"/>
      <c r="AH613"/>
      <c r="AI613"/>
      <c r="AJ613"/>
      <c r="AK613"/>
      <c r="AL613"/>
      <c r="AM613"/>
      <c r="AN613"/>
      <c r="AO613"/>
      <c r="AP613"/>
      <c r="AQ613"/>
      <c r="AR613"/>
      <c r="AS613"/>
      <c r="AT613"/>
      <c r="AU613"/>
      <c r="AV613"/>
      <c r="AW613"/>
      <c r="AX613"/>
      <c r="AY613"/>
      <c r="AZ613"/>
      <c r="BA613"/>
      <c r="BB613"/>
      <c r="BC613"/>
      <c r="BD613"/>
      <c r="BE613"/>
      <c r="BF613"/>
      <c r="BG613"/>
      <c r="BH613"/>
      <c r="BI613"/>
      <c r="BJ613"/>
      <c r="BK613"/>
      <c r="BL613"/>
      <c r="BM613"/>
      <c r="BN613"/>
      <c r="BO613"/>
      <c r="BP613"/>
      <c r="BQ613"/>
      <c r="BR613"/>
      <c r="BS613"/>
      <c r="BT613"/>
      <c r="BU613"/>
      <c r="BV613"/>
      <c r="BW613"/>
      <c r="BX613"/>
      <c r="BY613"/>
      <c r="BZ613"/>
    </row>
    <row r="614" spans="4:78" x14ac:dyDescent="0.25">
      <c r="D614"/>
      <c r="E614"/>
      <c r="F614"/>
      <c r="G614"/>
      <c r="H614"/>
      <c r="I614"/>
      <c r="J614"/>
      <c r="K614"/>
      <c r="L614"/>
      <c r="M614"/>
      <c r="N614"/>
      <c r="O614"/>
      <c r="P614"/>
      <c r="Q614"/>
      <c r="R614"/>
      <c r="S614"/>
      <c r="T614"/>
      <c r="U614"/>
      <c r="V614"/>
      <c r="W614"/>
      <c r="X614"/>
      <c r="Y614"/>
      <c r="Z614"/>
      <c r="AA614"/>
      <c r="AB614"/>
      <c r="AC614"/>
      <c r="AD614"/>
      <c r="AE614"/>
      <c r="AF614"/>
      <c r="AG614"/>
      <c r="AH614"/>
      <c r="AI614"/>
      <c r="AJ614"/>
      <c r="AK614"/>
      <c r="AL614"/>
      <c r="AM614"/>
      <c r="AN614"/>
      <c r="AO614"/>
      <c r="AP614"/>
      <c r="AQ614"/>
      <c r="AR614"/>
      <c r="AS614"/>
      <c r="AT614"/>
      <c r="AU614"/>
      <c r="AV614"/>
      <c r="AW614"/>
      <c r="AX614"/>
      <c r="AY614"/>
      <c r="AZ614"/>
      <c r="BA614"/>
      <c r="BB614"/>
      <c r="BC614"/>
      <c r="BD614"/>
      <c r="BE614"/>
      <c r="BF614"/>
      <c r="BG614"/>
      <c r="BH614"/>
      <c r="BI614"/>
      <c r="BJ614"/>
      <c r="BK614"/>
      <c r="BL614"/>
      <c r="BM614"/>
      <c r="BN614"/>
      <c r="BO614"/>
      <c r="BP614"/>
      <c r="BQ614"/>
      <c r="BR614"/>
      <c r="BS614"/>
      <c r="BT614"/>
      <c r="BU614"/>
      <c r="BV614"/>
      <c r="BW614"/>
      <c r="BX614"/>
      <c r="BY614"/>
      <c r="BZ614"/>
    </row>
    <row r="615" spans="4:78" x14ac:dyDescent="0.25">
      <c r="D615"/>
      <c r="E615"/>
      <c r="F615"/>
      <c r="G615"/>
      <c r="H615"/>
      <c r="I615"/>
      <c r="J615"/>
      <c r="K615"/>
      <c r="L615"/>
      <c r="M615"/>
      <c r="N615"/>
      <c r="O615"/>
      <c r="P615"/>
      <c r="Q615"/>
      <c r="R615"/>
      <c r="S615"/>
      <c r="T615"/>
      <c r="U615"/>
      <c r="V615"/>
      <c r="W615"/>
      <c r="X615"/>
      <c r="Y615"/>
      <c r="Z615"/>
      <c r="AA615"/>
      <c r="AB615"/>
      <c r="AC615"/>
      <c r="AD615"/>
      <c r="AE615"/>
      <c r="AF615"/>
      <c r="AG615"/>
      <c r="AH615"/>
      <c r="AI615"/>
      <c r="AJ615"/>
      <c r="AK615"/>
      <c r="AL615"/>
      <c r="AM615"/>
      <c r="AN615"/>
      <c r="AO615"/>
      <c r="AP615"/>
      <c r="AQ615"/>
      <c r="AR615"/>
      <c r="AS615"/>
      <c r="AT615"/>
      <c r="AU615"/>
      <c r="AV615"/>
      <c r="AW615"/>
      <c r="AX615"/>
      <c r="AY615"/>
      <c r="AZ615"/>
      <c r="BA615"/>
      <c r="BB615"/>
      <c r="BC615"/>
      <c r="BD615"/>
      <c r="BE615"/>
      <c r="BF615"/>
      <c r="BG615"/>
      <c r="BH615"/>
      <c r="BI615"/>
      <c r="BJ615"/>
      <c r="BK615"/>
      <c r="BL615"/>
      <c r="BM615"/>
      <c r="BN615"/>
      <c r="BO615"/>
      <c r="BP615"/>
      <c r="BQ615"/>
      <c r="BR615"/>
      <c r="BS615"/>
      <c r="BT615"/>
      <c r="BU615"/>
      <c r="BV615"/>
      <c r="BW615"/>
      <c r="BX615"/>
      <c r="BY615"/>
      <c r="BZ615"/>
    </row>
    <row r="616" spans="4:78" x14ac:dyDescent="0.25">
      <c r="D616"/>
      <c r="E616"/>
      <c r="F616"/>
      <c r="G616"/>
      <c r="H616"/>
      <c r="I616"/>
      <c r="J616"/>
      <c r="K616"/>
      <c r="L616"/>
      <c r="M616"/>
      <c r="N616"/>
      <c r="O616"/>
      <c r="P616"/>
      <c r="Q616"/>
      <c r="R616"/>
      <c r="S616"/>
      <c r="T616"/>
      <c r="U616"/>
      <c r="V616"/>
      <c r="W616"/>
      <c r="X616"/>
      <c r="Y616"/>
      <c r="Z616"/>
      <c r="AA616"/>
      <c r="AB616"/>
      <c r="AC616"/>
      <c r="AD616"/>
      <c r="AE616"/>
      <c r="AF616"/>
      <c r="AG616"/>
      <c r="AH616"/>
      <c r="AI616"/>
      <c r="AJ616"/>
      <c r="AK616"/>
      <c r="AL616"/>
      <c r="AM616"/>
      <c r="AN616"/>
      <c r="AO616"/>
      <c r="AP616"/>
      <c r="AQ616"/>
      <c r="AR616"/>
      <c r="AS616"/>
      <c r="AT616"/>
      <c r="AU616"/>
      <c r="AV616"/>
      <c r="AW616"/>
      <c r="AX616"/>
      <c r="AY616"/>
      <c r="AZ616"/>
      <c r="BA616"/>
      <c r="BB616"/>
      <c r="BC616"/>
      <c r="BD616"/>
      <c r="BE616"/>
      <c r="BF616"/>
      <c r="BG616"/>
      <c r="BH616"/>
      <c r="BI616"/>
      <c r="BJ616"/>
      <c r="BK616"/>
      <c r="BL616"/>
      <c r="BM616"/>
      <c r="BN616"/>
      <c r="BO616"/>
      <c r="BP616"/>
      <c r="BQ616"/>
      <c r="BR616"/>
      <c r="BS616"/>
      <c r="BT616"/>
      <c r="BU616"/>
      <c r="BV616"/>
      <c r="BW616"/>
      <c r="BX616"/>
      <c r="BY616"/>
      <c r="BZ616"/>
    </row>
    <row r="617" spans="4:78" x14ac:dyDescent="0.25">
      <c r="D617"/>
      <c r="E617"/>
      <c r="F617"/>
      <c r="G617"/>
      <c r="H617"/>
      <c r="I617"/>
      <c r="J617"/>
      <c r="K617"/>
      <c r="L617"/>
      <c r="M617"/>
      <c r="N617"/>
      <c r="O617"/>
      <c r="P617"/>
      <c r="Q617"/>
      <c r="R617"/>
      <c r="S617"/>
      <c r="T617"/>
      <c r="U617"/>
      <c r="V617"/>
      <c r="W617"/>
      <c r="X617"/>
      <c r="Y617"/>
      <c r="Z617"/>
      <c r="AA617"/>
      <c r="AB617"/>
      <c r="AC617"/>
      <c r="AD617"/>
      <c r="AE617"/>
      <c r="AF617"/>
      <c r="AG617"/>
      <c r="AH617"/>
      <c r="AI617"/>
      <c r="AJ617"/>
      <c r="AK617"/>
      <c r="AL617"/>
      <c r="AM617"/>
      <c r="AN617"/>
      <c r="AO617"/>
      <c r="AP617"/>
      <c r="AQ617"/>
      <c r="AR617"/>
      <c r="AS617"/>
      <c r="AT617"/>
      <c r="AU617"/>
      <c r="AV617"/>
      <c r="AW617"/>
      <c r="AX617"/>
      <c r="AY617"/>
      <c r="AZ617"/>
      <c r="BA617"/>
      <c r="BB617"/>
      <c r="BC617"/>
      <c r="BD617"/>
      <c r="BE617"/>
      <c r="BF617"/>
      <c r="BG617"/>
      <c r="BH617"/>
      <c r="BI617"/>
      <c r="BJ617"/>
      <c r="BK617"/>
      <c r="BL617"/>
      <c r="BM617"/>
      <c r="BN617"/>
      <c r="BO617"/>
      <c r="BP617"/>
      <c r="BQ617"/>
      <c r="BR617"/>
      <c r="BS617"/>
      <c r="BT617"/>
      <c r="BU617"/>
      <c r="BV617"/>
      <c r="BW617"/>
      <c r="BX617"/>
      <c r="BY617"/>
      <c r="BZ617"/>
    </row>
    <row r="618" spans="4:78" x14ac:dyDescent="0.25">
      <c r="D618"/>
      <c r="E618"/>
      <c r="F618"/>
      <c r="G618"/>
      <c r="H618"/>
      <c r="I618"/>
      <c r="J618"/>
      <c r="K618"/>
      <c r="L618"/>
      <c r="M618"/>
      <c r="N618"/>
      <c r="O618"/>
      <c r="P618"/>
      <c r="Q618"/>
      <c r="R618"/>
      <c r="S618"/>
      <c r="T618"/>
      <c r="U618"/>
      <c r="V618"/>
      <c r="W618"/>
      <c r="X618"/>
      <c r="Y618"/>
      <c r="Z618"/>
      <c r="AA618"/>
      <c r="AB618"/>
      <c r="AC618"/>
      <c r="AD618"/>
      <c r="AE618"/>
      <c r="AF618"/>
      <c r="AG618"/>
      <c r="AH618"/>
      <c r="AI618"/>
      <c r="AJ618"/>
      <c r="AK618"/>
      <c r="AL618"/>
      <c r="AM618"/>
      <c r="AN618"/>
      <c r="AO618"/>
      <c r="AP618"/>
      <c r="AQ618"/>
      <c r="AR618"/>
      <c r="AS618"/>
      <c r="AT618"/>
      <c r="AU618"/>
      <c r="AV618"/>
      <c r="AW618"/>
      <c r="AX618"/>
      <c r="AY618"/>
      <c r="AZ618"/>
      <c r="BA618"/>
      <c r="BB618"/>
      <c r="BC618"/>
      <c r="BD618"/>
      <c r="BE618"/>
      <c r="BF618"/>
      <c r="BG618"/>
      <c r="BH618"/>
      <c r="BI618"/>
      <c r="BJ618"/>
      <c r="BK618"/>
      <c r="BL618"/>
      <c r="BM618"/>
      <c r="BN618"/>
      <c r="BO618"/>
      <c r="BP618"/>
      <c r="BQ618"/>
      <c r="BR618"/>
      <c r="BS618"/>
      <c r="BT618"/>
      <c r="BU618"/>
      <c r="BV618"/>
      <c r="BW618"/>
      <c r="BX618"/>
      <c r="BY618"/>
      <c r="BZ618"/>
    </row>
    <row r="619" spans="4:78" x14ac:dyDescent="0.25">
      <c r="D619"/>
      <c r="E619"/>
      <c r="F619"/>
      <c r="G619"/>
      <c r="H619"/>
      <c r="I619"/>
      <c r="J619"/>
      <c r="K619"/>
      <c r="L619"/>
      <c r="M619"/>
      <c r="N619"/>
      <c r="O619"/>
      <c r="P619"/>
      <c r="Q619"/>
      <c r="R619"/>
      <c r="S619"/>
      <c r="T619"/>
      <c r="U619"/>
      <c r="V619"/>
      <c r="W619"/>
      <c r="X619"/>
      <c r="Y619"/>
      <c r="Z619"/>
      <c r="AA619"/>
      <c r="AB619"/>
      <c r="AC619"/>
      <c r="AD619"/>
      <c r="AE619"/>
      <c r="AF619"/>
      <c r="AG619"/>
      <c r="AH619"/>
      <c r="AI619"/>
      <c r="AJ619"/>
      <c r="AK619"/>
      <c r="AL619"/>
      <c r="AM619"/>
      <c r="AN619"/>
      <c r="AO619"/>
      <c r="AP619"/>
      <c r="AQ619"/>
      <c r="AR619"/>
      <c r="AS619"/>
      <c r="AT619"/>
      <c r="AU619"/>
      <c r="AV619"/>
      <c r="AW619"/>
      <c r="AX619"/>
      <c r="AY619"/>
      <c r="AZ619"/>
      <c r="BA619"/>
      <c r="BB619"/>
      <c r="BC619"/>
      <c r="BD619"/>
      <c r="BE619"/>
      <c r="BF619"/>
      <c r="BG619"/>
      <c r="BH619"/>
      <c r="BI619"/>
      <c r="BJ619"/>
      <c r="BK619"/>
      <c r="BL619"/>
      <c r="BM619"/>
      <c r="BN619"/>
      <c r="BO619"/>
      <c r="BP619"/>
      <c r="BQ619"/>
      <c r="BR619"/>
      <c r="BS619"/>
      <c r="BT619"/>
      <c r="BU619"/>
      <c r="BV619"/>
      <c r="BW619"/>
      <c r="BX619"/>
      <c r="BY619"/>
      <c r="BZ619"/>
    </row>
    <row r="620" spans="4:78" x14ac:dyDescent="0.25">
      <c r="D620"/>
      <c r="E620"/>
      <c r="F620"/>
      <c r="G620"/>
      <c r="H620"/>
      <c r="I620"/>
      <c r="J620"/>
      <c r="K620"/>
      <c r="L620"/>
      <c r="M620"/>
      <c r="N620"/>
      <c r="O620"/>
      <c r="P620"/>
      <c r="Q620"/>
      <c r="R620"/>
      <c r="S620"/>
      <c r="T620"/>
      <c r="U620"/>
      <c r="V620"/>
      <c r="W620"/>
      <c r="X620"/>
      <c r="Y620"/>
      <c r="Z620"/>
      <c r="AA620"/>
      <c r="AB620"/>
      <c r="AC620"/>
      <c r="AD620"/>
      <c r="AE620"/>
      <c r="AF620"/>
      <c r="AG620"/>
      <c r="AH620"/>
      <c r="AI620"/>
      <c r="AJ620"/>
      <c r="AK620"/>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c r="BY620"/>
      <c r="BZ620"/>
    </row>
    <row r="621" spans="4:78" x14ac:dyDescent="0.25">
      <c r="D621"/>
      <c r="E621"/>
      <c r="F621"/>
      <c r="G621"/>
      <c r="H621"/>
      <c r="I621"/>
      <c r="J621"/>
      <c r="K621"/>
      <c r="L621"/>
      <c r="M621"/>
      <c r="N621"/>
      <c r="O621"/>
      <c r="P621"/>
      <c r="Q621"/>
      <c r="R621"/>
      <c r="S621"/>
      <c r="T621"/>
      <c r="U621"/>
      <c r="V621"/>
      <c r="W621"/>
      <c r="X621"/>
      <c r="Y621"/>
      <c r="Z621"/>
      <c r="AA621"/>
      <c r="AB621"/>
      <c r="AC621"/>
      <c r="AD621"/>
      <c r="AE621"/>
      <c r="AF621"/>
      <c r="AG621"/>
      <c r="AH621"/>
      <c r="AI621"/>
      <c r="AJ621"/>
      <c r="AK621"/>
      <c r="AL621"/>
      <c r="AM621"/>
      <c r="AN621"/>
      <c r="AO621"/>
      <c r="AP621"/>
      <c r="AQ621"/>
      <c r="AR621"/>
      <c r="AS621"/>
      <c r="AT621"/>
      <c r="AU621"/>
      <c r="AV621"/>
      <c r="AW621"/>
      <c r="AX621"/>
      <c r="AY621"/>
      <c r="AZ621"/>
      <c r="BA621"/>
      <c r="BB621"/>
      <c r="BC621"/>
      <c r="BD621"/>
      <c r="BE621"/>
      <c r="BF621"/>
      <c r="BG621"/>
      <c r="BH621"/>
      <c r="BI621"/>
      <c r="BJ621"/>
      <c r="BK621"/>
      <c r="BL621"/>
      <c r="BM621"/>
      <c r="BN621"/>
      <c r="BO621"/>
      <c r="BP621"/>
      <c r="BQ621"/>
      <c r="BR621"/>
      <c r="BS621"/>
      <c r="BT621"/>
      <c r="BU621"/>
      <c r="BV621"/>
      <c r="BW621"/>
      <c r="BX621"/>
      <c r="BY621"/>
      <c r="BZ621"/>
    </row>
    <row r="622" spans="4:78" x14ac:dyDescent="0.25">
      <c r="D622"/>
      <c r="E622"/>
      <c r="F622"/>
      <c r="G622"/>
      <c r="H622"/>
      <c r="I622"/>
      <c r="J622"/>
      <c r="K622"/>
      <c r="L622"/>
      <c r="M622"/>
      <c r="N622"/>
      <c r="O622"/>
      <c r="P622"/>
      <c r="Q622"/>
      <c r="R622"/>
      <c r="S622"/>
      <c r="T622"/>
      <c r="U622"/>
      <c r="V622"/>
      <c r="W622"/>
      <c r="X622"/>
      <c r="Y622"/>
      <c r="Z622"/>
      <c r="AA622"/>
      <c r="AB622"/>
      <c r="AC622"/>
      <c r="AD622"/>
      <c r="AE622"/>
      <c r="AF622"/>
      <c r="AG622"/>
      <c r="AH622"/>
      <c r="AI622"/>
      <c r="AJ622"/>
      <c r="AK622"/>
      <c r="AL622"/>
      <c r="AM622"/>
      <c r="AN622"/>
      <c r="AO622"/>
      <c r="AP622"/>
      <c r="AQ622"/>
      <c r="AR622"/>
      <c r="AS622"/>
      <c r="AT622"/>
      <c r="AU622"/>
      <c r="AV622"/>
      <c r="AW622"/>
      <c r="AX622"/>
      <c r="AY622"/>
      <c r="AZ622"/>
      <c r="BA622"/>
      <c r="BB622"/>
      <c r="BC622"/>
      <c r="BD622"/>
      <c r="BE622"/>
      <c r="BF622"/>
      <c r="BG622"/>
      <c r="BH622"/>
      <c r="BI622"/>
      <c r="BJ622"/>
      <c r="BK622"/>
      <c r="BL622"/>
      <c r="BM622"/>
      <c r="BN622"/>
      <c r="BO622"/>
      <c r="BP622"/>
      <c r="BQ622"/>
      <c r="BR622"/>
      <c r="BS622"/>
      <c r="BT622"/>
      <c r="BU622"/>
      <c r="BV622"/>
      <c r="BW622"/>
      <c r="BX622"/>
      <c r="BY622"/>
      <c r="BZ622"/>
    </row>
    <row r="623" spans="4:78" x14ac:dyDescent="0.25">
      <c r="D623"/>
      <c r="E623"/>
      <c r="F623"/>
      <c r="G623"/>
      <c r="H623"/>
      <c r="I623"/>
      <c r="J623"/>
      <c r="K623"/>
      <c r="L623"/>
      <c r="M623"/>
      <c r="N623"/>
      <c r="O623"/>
      <c r="P623"/>
      <c r="Q623"/>
      <c r="R623"/>
      <c r="S623"/>
      <c r="T623"/>
      <c r="U623"/>
      <c r="V623"/>
      <c r="W623"/>
      <c r="X623"/>
      <c r="Y623"/>
      <c r="Z623"/>
      <c r="AA623"/>
      <c r="AB623"/>
      <c r="AC623"/>
      <c r="AD623"/>
      <c r="AE623"/>
      <c r="AF623"/>
      <c r="AG623"/>
      <c r="AH623"/>
      <c r="AI623"/>
      <c r="AJ623"/>
      <c r="AK623"/>
      <c r="AL623"/>
      <c r="AM623"/>
      <c r="AN623"/>
      <c r="AO623"/>
      <c r="AP623"/>
      <c r="AQ623"/>
      <c r="AR623"/>
      <c r="AS623"/>
      <c r="AT623"/>
      <c r="AU623"/>
      <c r="AV623"/>
      <c r="AW623"/>
      <c r="AX623"/>
      <c r="AY623"/>
      <c r="AZ623"/>
      <c r="BA623"/>
      <c r="BB623"/>
      <c r="BC623"/>
      <c r="BD623"/>
      <c r="BE623"/>
      <c r="BF623"/>
      <c r="BG623"/>
      <c r="BH623"/>
      <c r="BI623"/>
      <c r="BJ623"/>
      <c r="BK623"/>
      <c r="BL623"/>
      <c r="BM623"/>
      <c r="BN623"/>
      <c r="BO623"/>
      <c r="BP623"/>
      <c r="BQ623"/>
      <c r="BR623"/>
      <c r="BS623"/>
      <c r="BT623"/>
      <c r="BU623"/>
      <c r="BV623"/>
      <c r="BW623"/>
      <c r="BX623"/>
      <c r="BY623"/>
      <c r="BZ623"/>
    </row>
    <row r="624" spans="4:78" x14ac:dyDescent="0.25">
      <c r="D624"/>
      <c r="E624"/>
      <c r="F624"/>
      <c r="G624"/>
      <c r="H624"/>
      <c r="I624"/>
      <c r="J624"/>
      <c r="K624"/>
      <c r="L624"/>
      <c r="M624"/>
      <c r="N624"/>
      <c r="O624"/>
      <c r="P624"/>
      <c r="Q624"/>
      <c r="R624"/>
      <c r="S624"/>
      <c r="T624"/>
      <c r="U624"/>
      <c r="V624"/>
      <c r="W624"/>
      <c r="X624"/>
      <c r="Y624"/>
      <c r="Z624"/>
      <c r="AA624"/>
      <c r="AB624"/>
      <c r="AC624"/>
      <c r="AD624"/>
      <c r="AE624"/>
      <c r="AF624"/>
      <c r="AG624"/>
      <c r="AH624"/>
      <c r="AI624"/>
      <c r="AJ624"/>
      <c r="AK624"/>
      <c r="AL624"/>
      <c r="AM624"/>
      <c r="AN624"/>
      <c r="AO624"/>
      <c r="AP624"/>
      <c r="AQ624"/>
      <c r="AR624"/>
      <c r="AS624"/>
      <c r="AT624"/>
      <c r="AU624"/>
      <c r="AV624"/>
      <c r="AW624"/>
      <c r="AX624"/>
      <c r="AY624"/>
      <c r="AZ624"/>
      <c r="BA624"/>
      <c r="BB624"/>
      <c r="BC624"/>
      <c r="BD624"/>
      <c r="BE624"/>
      <c r="BF624"/>
      <c r="BG624"/>
      <c r="BH624"/>
      <c r="BI624"/>
      <c r="BJ624"/>
      <c r="BK624"/>
      <c r="BL624"/>
      <c r="BM624"/>
      <c r="BN624"/>
      <c r="BO624"/>
      <c r="BP624"/>
      <c r="BQ624"/>
      <c r="BR624"/>
      <c r="BS624"/>
      <c r="BT624"/>
      <c r="BU624"/>
      <c r="BV624"/>
      <c r="BW624"/>
      <c r="BX624"/>
      <c r="BY624"/>
      <c r="BZ624"/>
    </row>
    <row r="625" spans="4:78" x14ac:dyDescent="0.25">
      <c r="D625"/>
      <c r="E625"/>
      <c r="F625"/>
      <c r="G625"/>
      <c r="H625"/>
      <c r="I625"/>
      <c r="J625"/>
      <c r="K625"/>
      <c r="L625"/>
      <c r="M625"/>
      <c r="N625"/>
      <c r="O625"/>
      <c r="P625"/>
      <c r="Q625"/>
      <c r="R625"/>
      <c r="S625"/>
      <c r="T625"/>
      <c r="U625"/>
      <c r="V625"/>
      <c r="W625"/>
      <c r="X625"/>
      <c r="Y625"/>
      <c r="Z625"/>
      <c r="AA625"/>
      <c r="AB625"/>
      <c r="AC625"/>
      <c r="AD625"/>
      <c r="AE625"/>
      <c r="AF625"/>
      <c r="AG625"/>
      <c r="AH625"/>
      <c r="AI625"/>
      <c r="AJ625"/>
      <c r="AK625"/>
      <c r="AL625"/>
      <c r="AM625"/>
      <c r="AN625"/>
      <c r="AO625"/>
      <c r="AP625"/>
      <c r="AQ625"/>
      <c r="AR625"/>
      <c r="AS625"/>
      <c r="AT625"/>
      <c r="AU625"/>
      <c r="AV625"/>
      <c r="AW625"/>
      <c r="AX625"/>
      <c r="AY625"/>
      <c r="AZ625"/>
      <c r="BA625"/>
      <c r="BB625"/>
      <c r="BC625"/>
      <c r="BD625"/>
      <c r="BE625"/>
      <c r="BF625"/>
      <c r="BG625"/>
      <c r="BH625"/>
      <c r="BI625"/>
      <c r="BJ625"/>
      <c r="BK625"/>
      <c r="BL625"/>
      <c r="BM625"/>
      <c r="BN625"/>
      <c r="BO625"/>
      <c r="BP625"/>
      <c r="BQ625"/>
      <c r="BR625"/>
      <c r="BS625"/>
      <c r="BT625"/>
      <c r="BU625"/>
      <c r="BV625"/>
      <c r="BW625"/>
      <c r="BX625"/>
      <c r="BY625"/>
      <c r="BZ625"/>
    </row>
    <row r="626" spans="4:78" x14ac:dyDescent="0.25">
      <c r="D626"/>
      <c r="E626"/>
      <c r="F626"/>
      <c r="G626"/>
      <c r="H626"/>
      <c r="I626"/>
      <c r="J626"/>
      <c r="K626"/>
      <c r="L626"/>
      <c r="M626"/>
      <c r="N626"/>
      <c r="O626"/>
      <c r="P626"/>
      <c r="Q626"/>
      <c r="R626"/>
      <c r="S626"/>
      <c r="T626"/>
      <c r="U626"/>
      <c r="V626"/>
      <c r="W626"/>
      <c r="X626"/>
      <c r="Y626"/>
      <c r="Z626"/>
      <c r="AA626"/>
      <c r="AB626"/>
      <c r="AC626"/>
      <c r="AD626"/>
      <c r="AE626"/>
      <c r="AF626"/>
      <c r="AG626"/>
      <c r="AH626"/>
      <c r="AI626"/>
      <c r="AJ626"/>
      <c r="AK626"/>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c r="BZ626"/>
    </row>
    <row r="627" spans="4:78" x14ac:dyDescent="0.25">
      <c r="D627"/>
      <c r="E627"/>
      <c r="F627"/>
      <c r="G627"/>
      <c r="H627"/>
      <c r="I627"/>
      <c r="J627"/>
      <c r="K627"/>
      <c r="L627"/>
      <c r="M627"/>
      <c r="N627"/>
      <c r="O627"/>
      <c r="P627"/>
      <c r="Q627"/>
      <c r="R627"/>
      <c r="S627"/>
      <c r="T627"/>
      <c r="U627"/>
      <c r="V627"/>
      <c r="W627"/>
      <c r="X627"/>
      <c r="Y627"/>
      <c r="Z627"/>
      <c r="AA627"/>
      <c r="AB627"/>
      <c r="AC627"/>
      <c r="AD627"/>
      <c r="AE627"/>
      <c r="AF627"/>
      <c r="AG627"/>
      <c r="AH627"/>
      <c r="AI627"/>
      <c r="AJ627"/>
      <c r="AK627"/>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c r="BZ627"/>
    </row>
    <row r="628" spans="4:78" x14ac:dyDescent="0.25">
      <c r="D628"/>
      <c r="E628"/>
      <c r="F628"/>
      <c r="G628"/>
      <c r="H628"/>
      <c r="I628"/>
      <c r="J628"/>
      <c r="K628"/>
      <c r="L628"/>
      <c r="M628"/>
      <c r="N628"/>
      <c r="O628"/>
      <c r="P628"/>
      <c r="Q628"/>
      <c r="R628"/>
      <c r="S628"/>
      <c r="T628"/>
      <c r="U628"/>
      <c r="V628"/>
      <c r="W628"/>
      <c r="X628"/>
      <c r="Y628"/>
      <c r="Z628"/>
      <c r="AA628"/>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c r="BZ628"/>
    </row>
    <row r="629" spans="4:78" x14ac:dyDescent="0.25">
      <c r="D629"/>
      <c r="E629"/>
      <c r="F629"/>
      <c r="G629"/>
      <c r="H629"/>
      <c r="I629"/>
      <c r="J629"/>
      <c r="K629"/>
      <c r="L629"/>
      <c r="M629"/>
      <c r="N629"/>
      <c r="O629"/>
      <c r="P629"/>
      <c r="Q629"/>
      <c r="R629"/>
      <c r="S629"/>
      <c r="T629"/>
      <c r="U629"/>
      <c r="V629"/>
      <c r="W629"/>
      <c r="X629"/>
      <c r="Y629"/>
      <c r="Z629"/>
      <c r="AA629"/>
      <c r="AB629"/>
      <c r="AC629"/>
      <c r="AD629"/>
      <c r="AE629"/>
      <c r="AF629"/>
      <c r="AG629"/>
      <c r="AH629"/>
      <c r="AI629"/>
      <c r="AJ629"/>
      <c r="AK629"/>
      <c r="AL629"/>
      <c r="AM629"/>
      <c r="AN629"/>
      <c r="AO629"/>
      <c r="AP629"/>
      <c r="AQ629"/>
      <c r="AR629"/>
      <c r="AS629"/>
      <c r="AT629"/>
      <c r="AU629"/>
      <c r="AV629"/>
      <c r="AW629"/>
      <c r="AX629"/>
      <c r="AY629"/>
      <c r="AZ629"/>
      <c r="BA629"/>
      <c r="BB629"/>
      <c r="BC629"/>
      <c r="BD629"/>
      <c r="BE629"/>
      <c r="BF629"/>
      <c r="BG629"/>
      <c r="BH629"/>
      <c r="BI629"/>
      <c r="BJ629"/>
      <c r="BK629"/>
      <c r="BL629"/>
      <c r="BM629"/>
      <c r="BN629"/>
      <c r="BO629"/>
      <c r="BP629"/>
      <c r="BQ629"/>
      <c r="BR629"/>
      <c r="BS629"/>
      <c r="BT629"/>
      <c r="BU629"/>
      <c r="BV629"/>
      <c r="BW629"/>
      <c r="BX629"/>
      <c r="BY629"/>
      <c r="BZ629"/>
    </row>
    <row r="630" spans="4:78" x14ac:dyDescent="0.25">
      <c r="D630"/>
      <c r="E630"/>
      <c r="F630"/>
      <c r="G630"/>
      <c r="H630"/>
      <c r="I630"/>
      <c r="J630"/>
      <c r="K630"/>
      <c r="L630"/>
      <c r="M630"/>
      <c r="N630"/>
      <c r="O630"/>
      <c r="P630"/>
      <c r="Q630"/>
      <c r="R630"/>
      <c r="S630"/>
      <c r="T630"/>
      <c r="U630"/>
      <c r="V630"/>
      <c r="W630"/>
      <c r="X630"/>
      <c r="Y630"/>
      <c r="Z630"/>
      <c r="AA630"/>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c r="BZ630"/>
    </row>
    <row r="631" spans="4:78" x14ac:dyDescent="0.25">
      <c r="D631"/>
      <c r="E631"/>
      <c r="F631"/>
      <c r="G631"/>
      <c r="H631"/>
      <c r="I631"/>
      <c r="J631"/>
      <c r="K631"/>
      <c r="L631"/>
      <c r="M631"/>
      <c r="N631"/>
      <c r="O631"/>
      <c r="P631"/>
      <c r="Q631"/>
      <c r="R631"/>
      <c r="S631"/>
      <c r="T631"/>
      <c r="U631"/>
      <c r="V631"/>
      <c r="W631"/>
      <c r="X631"/>
      <c r="Y631"/>
      <c r="Z631"/>
      <c r="AA631"/>
      <c r="AB631"/>
      <c r="AC631"/>
      <c r="AD631"/>
      <c r="AE631"/>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c r="BZ631"/>
    </row>
    <row r="632" spans="4:78" x14ac:dyDescent="0.25">
      <c r="D632"/>
      <c r="E632"/>
      <c r="F632"/>
      <c r="G632"/>
      <c r="H632"/>
      <c r="I632"/>
      <c r="J632"/>
      <c r="K632"/>
      <c r="L632"/>
      <c r="M632"/>
      <c r="N632"/>
      <c r="O632"/>
      <c r="P632"/>
      <c r="Q632"/>
      <c r="R632"/>
      <c r="S632"/>
      <c r="T632"/>
      <c r="U632"/>
      <c r="V632"/>
      <c r="W632"/>
      <c r="X632"/>
      <c r="Y632"/>
      <c r="Z632"/>
      <c r="AA632"/>
      <c r="AB632"/>
      <c r="AC632"/>
      <c r="AD632"/>
      <c r="AE632"/>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c r="BZ632"/>
    </row>
    <row r="633" spans="4:78" x14ac:dyDescent="0.25">
      <c r="D633"/>
      <c r="E633"/>
      <c r="F633"/>
      <c r="G633"/>
      <c r="H633"/>
      <c r="I633"/>
      <c r="J633"/>
      <c r="K633"/>
      <c r="L633"/>
      <c r="M633"/>
      <c r="N633"/>
      <c r="O633"/>
      <c r="P633"/>
      <c r="Q633"/>
      <c r="R633"/>
      <c r="S633"/>
      <c r="T633"/>
      <c r="U633"/>
      <c r="V633"/>
      <c r="W633"/>
      <c r="X633"/>
      <c r="Y633"/>
      <c r="Z633"/>
      <c r="AA633"/>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c r="BZ633"/>
    </row>
    <row r="634" spans="4:78" x14ac:dyDescent="0.25">
      <c r="D634"/>
      <c r="E634"/>
      <c r="F634"/>
      <c r="G634"/>
      <c r="H634"/>
      <c r="I634"/>
      <c r="J634"/>
      <c r="K634"/>
      <c r="L634"/>
      <c r="M634"/>
      <c r="N634"/>
      <c r="O634"/>
      <c r="P634"/>
      <c r="Q634"/>
      <c r="R634"/>
      <c r="S634"/>
      <c r="T634"/>
      <c r="U634"/>
      <c r="V634"/>
      <c r="W634"/>
      <c r="X634"/>
      <c r="Y634"/>
      <c r="Z634"/>
      <c r="AA634"/>
      <c r="AB634"/>
      <c r="AC634"/>
      <c r="AD634"/>
      <c r="AE634"/>
      <c r="AF634"/>
      <c r="AG634"/>
      <c r="AH634"/>
      <c r="AI634"/>
      <c r="AJ634"/>
      <c r="AK634"/>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c r="BZ634"/>
    </row>
    <row r="635" spans="4:78" x14ac:dyDescent="0.25">
      <c r="D635"/>
      <c r="E635"/>
      <c r="F635"/>
      <c r="G635"/>
      <c r="H635"/>
      <c r="I635"/>
      <c r="J635"/>
      <c r="K635"/>
      <c r="L635"/>
      <c r="M635"/>
      <c r="N635"/>
      <c r="O635"/>
      <c r="P635"/>
      <c r="Q635"/>
      <c r="R635"/>
      <c r="S635"/>
      <c r="T635"/>
      <c r="U635"/>
      <c r="V635"/>
      <c r="W635"/>
      <c r="X635"/>
      <c r="Y635"/>
      <c r="Z635"/>
      <c r="AA6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c r="BZ635"/>
    </row>
    <row r="636" spans="4:78" x14ac:dyDescent="0.25">
      <c r="D636"/>
      <c r="E636"/>
      <c r="F636"/>
      <c r="G636"/>
      <c r="H636"/>
      <c r="I636"/>
      <c r="J636"/>
      <c r="K636"/>
      <c r="L636"/>
      <c r="M636"/>
      <c r="N636"/>
      <c r="O636"/>
      <c r="P636"/>
      <c r="Q636"/>
      <c r="R636"/>
      <c r="S636"/>
      <c r="T636"/>
      <c r="U636"/>
      <c r="V636"/>
      <c r="W636"/>
      <c r="X636"/>
      <c r="Y636"/>
      <c r="Z636"/>
      <c r="AA636"/>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c r="BZ636"/>
    </row>
    <row r="637" spans="4:78" x14ac:dyDescent="0.25">
      <c r="D637"/>
      <c r="E637"/>
      <c r="F637"/>
      <c r="G637"/>
      <c r="H637"/>
      <c r="I637"/>
      <c r="J637"/>
      <c r="K637"/>
      <c r="L637"/>
      <c r="M637"/>
      <c r="N637"/>
      <c r="O637"/>
      <c r="P637"/>
      <c r="Q637"/>
      <c r="R637"/>
      <c r="S637"/>
      <c r="T637"/>
      <c r="U637"/>
      <c r="V637"/>
      <c r="W637"/>
      <c r="X637"/>
      <c r="Y637"/>
      <c r="Z637"/>
      <c r="AA637"/>
      <c r="AB637"/>
      <c r="AC637"/>
      <c r="AD637"/>
      <c r="AE637"/>
      <c r="AF637"/>
      <c r="AG637"/>
      <c r="AH637"/>
      <c r="AI637"/>
      <c r="AJ637"/>
      <c r="AK637"/>
      <c r="AL637"/>
      <c r="AM637"/>
      <c r="AN637"/>
      <c r="AO637"/>
      <c r="AP637"/>
      <c r="AQ637"/>
      <c r="AR637"/>
      <c r="AS637"/>
      <c r="AT637"/>
      <c r="AU637"/>
      <c r="AV637"/>
      <c r="AW637"/>
      <c r="AX637"/>
      <c r="AY637"/>
      <c r="AZ637"/>
      <c r="BA637"/>
      <c r="BB637"/>
      <c r="BC637"/>
      <c r="BD637"/>
      <c r="BE637"/>
      <c r="BF637"/>
      <c r="BG637"/>
      <c r="BH637"/>
      <c r="BI637"/>
      <c r="BJ637"/>
      <c r="BK637"/>
      <c r="BL637"/>
      <c r="BM637"/>
      <c r="BN637"/>
      <c r="BO637"/>
      <c r="BP637"/>
      <c r="BQ637"/>
      <c r="BR637"/>
      <c r="BS637"/>
      <c r="BT637"/>
      <c r="BU637"/>
      <c r="BV637"/>
      <c r="BW637"/>
      <c r="BX637"/>
      <c r="BY637"/>
      <c r="BZ637"/>
    </row>
    <row r="638" spans="4:78" x14ac:dyDescent="0.25">
      <c r="D638"/>
      <c r="E638"/>
      <c r="F638"/>
      <c r="G638"/>
      <c r="H638"/>
      <c r="I638"/>
      <c r="J638"/>
      <c r="K638"/>
      <c r="L638"/>
      <c r="M638"/>
      <c r="N638"/>
      <c r="O638"/>
      <c r="P638"/>
      <c r="Q638"/>
      <c r="R638"/>
      <c r="S638"/>
      <c r="T638"/>
      <c r="U638"/>
      <c r="V638"/>
      <c r="W638"/>
      <c r="X638"/>
      <c r="Y638"/>
      <c r="Z638"/>
      <c r="AA638"/>
      <c r="AB638"/>
      <c r="AC638"/>
      <c r="AD638"/>
      <c r="AE638"/>
      <c r="AF638"/>
      <c r="AG638"/>
      <c r="AH638"/>
      <c r="AI638"/>
      <c r="AJ638"/>
      <c r="AK638"/>
      <c r="AL638"/>
      <c r="AM638"/>
      <c r="AN638"/>
      <c r="AO638"/>
      <c r="AP638"/>
      <c r="AQ638"/>
      <c r="AR638"/>
      <c r="AS638"/>
      <c r="AT638"/>
      <c r="AU638"/>
      <c r="AV638"/>
      <c r="AW638"/>
      <c r="AX638"/>
      <c r="AY638"/>
      <c r="AZ638"/>
      <c r="BA638"/>
      <c r="BB638"/>
      <c r="BC638"/>
      <c r="BD638"/>
      <c r="BE638"/>
      <c r="BF638"/>
      <c r="BG638"/>
      <c r="BH638"/>
      <c r="BI638"/>
      <c r="BJ638"/>
      <c r="BK638"/>
      <c r="BL638"/>
      <c r="BM638"/>
      <c r="BN638"/>
      <c r="BO638"/>
      <c r="BP638"/>
      <c r="BQ638"/>
      <c r="BR638"/>
      <c r="BS638"/>
      <c r="BT638"/>
      <c r="BU638"/>
      <c r="BV638"/>
      <c r="BW638"/>
      <c r="BX638"/>
      <c r="BY638"/>
      <c r="BZ638"/>
    </row>
    <row r="639" spans="4:78" x14ac:dyDescent="0.25">
      <c r="D639"/>
      <c r="E639"/>
      <c r="F639"/>
      <c r="G639"/>
      <c r="H639"/>
      <c r="I639"/>
      <c r="J639"/>
      <c r="K639"/>
      <c r="L639"/>
      <c r="M639"/>
      <c r="N639"/>
      <c r="O639"/>
      <c r="P639"/>
      <c r="Q639"/>
      <c r="R639"/>
      <c r="S639"/>
      <c r="T639"/>
      <c r="U639"/>
      <c r="V639"/>
      <c r="W639"/>
      <c r="X639"/>
      <c r="Y639"/>
      <c r="Z639"/>
      <c r="AA639"/>
      <c r="AB639"/>
      <c r="AC639"/>
      <c r="AD639"/>
      <c r="AE639"/>
      <c r="AF639"/>
      <c r="AG639"/>
      <c r="AH639"/>
      <c r="AI639"/>
      <c r="AJ639"/>
      <c r="AK639"/>
      <c r="AL639"/>
      <c r="AM639"/>
      <c r="AN639"/>
      <c r="AO639"/>
      <c r="AP639"/>
      <c r="AQ639"/>
      <c r="AR639"/>
      <c r="AS639"/>
      <c r="AT639"/>
      <c r="AU639"/>
      <c r="AV639"/>
      <c r="AW639"/>
      <c r="AX639"/>
      <c r="AY639"/>
      <c r="AZ639"/>
      <c r="BA639"/>
      <c r="BB639"/>
      <c r="BC639"/>
      <c r="BD639"/>
      <c r="BE639"/>
      <c r="BF639"/>
      <c r="BG639"/>
      <c r="BH639"/>
      <c r="BI639"/>
      <c r="BJ639"/>
      <c r="BK639"/>
      <c r="BL639"/>
      <c r="BM639"/>
      <c r="BN639"/>
      <c r="BO639"/>
      <c r="BP639"/>
      <c r="BQ639"/>
      <c r="BR639"/>
      <c r="BS639"/>
      <c r="BT639"/>
      <c r="BU639"/>
      <c r="BV639"/>
      <c r="BW639"/>
      <c r="BX639"/>
      <c r="BY639"/>
      <c r="BZ639"/>
    </row>
    <row r="640" spans="4:78" x14ac:dyDescent="0.25">
      <c r="D640"/>
      <c r="E640"/>
      <c r="F640"/>
      <c r="G640"/>
      <c r="H640"/>
      <c r="I640"/>
      <c r="J640"/>
      <c r="K640"/>
      <c r="L640"/>
      <c r="M640"/>
      <c r="N640"/>
      <c r="O640"/>
      <c r="P640"/>
      <c r="Q640"/>
      <c r="R640"/>
      <c r="S640"/>
      <c r="T640"/>
      <c r="U640"/>
      <c r="V640"/>
      <c r="W640"/>
      <c r="X640"/>
      <c r="Y640"/>
      <c r="Z640"/>
      <c r="AA640"/>
      <c r="AB640"/>
      <c r="AC640"/>
      <c r="AD640"/>
      <c r="AE640"/>
      <c r="AF640"/>
      <c r="AG640"/>
      <c r="AH640"/>
      <c r="AI640"/>
      <c r="AJ640"/>
      <c r="AK640"/>
      <c r="AL640"/>
      <c r="AM640"/>
      <c r="AN640"/>
      <c r="AO640"/>
      <c r="AP640"/>
      <c r="AQ640"/>
      <c r="AR640"/>
      <c r="AS640"/>
      <c r="AT640"/>
      <c r="AU640"/>
      <c r="AV640"/>
      <c r="AW640"/>
      <c r="AX640"/>
      <c r="AY640"/>
      <c r="AZ640"/>
      <c r="BA640"/>
      <c r="BB640"/>
      <c r="BC640"/>
      <c r="BD640"/>
      <c r="BE640"/>
      <c r="BF640"/>
      <c r="BG640"/>
      <c r="BH640"/>
      <c r="BI640"/>
      <c r="BJ640"/>
      <c r="BK640"/>
      <c r="BL640"/>
      <c r="BM640"/>
      <c r="BN640"/>
      <c r="BO640"/>
      <c r="BP640"/>
      <c r="BQ640"/>
      <c r="BR640"/>
      <c r="BS640"/>
      <c r="BT640"/>
      <c r="BU640"/>
      <c r="BV640"/>
      <c r="BW640"/>
      <c r="BX640"/>
      <c r="BY640"/>
      <c r="BZ640"/>
    </row>
    <row r="641" spans="4:78" x14ac:dyDescent="0.25">
      <c r="D641"/>
      <c r="E641"/>
      <c r="F641"/>
      <c r="G641"/>
      <c r="H641"/>
      <c r="I641"/>
      <c r="J641"/>
      <c r="K641"/>
      <c r="L641"/>
      <c r="M641"/>
      <c r="N641"/>
      <c r="O641"/>
      <c r="P641"/>
      <c r="Q641"/>
      <c r="R641"/>
      <c r="S641"/>
      <c r="T641"/>
      <c r="U641"/>
      <c r="V641"/>
      <c r="W641"/>
      <c r="X641"/>
      <c r="Y641"/>
      <c r="Z641"/>
      <c r="AA641"/>
      <c r="AB641"/>
      <c r="AC641"/>
      <c r="AD641"/>
      <c r="AE641"/>
      <c r="AF641"/>
      <c r="AG641"/>
      <c r="AH641"/>
      <c r="AI641"/>
      <c r="AJ641"/>
      <c r="AK641"/>
      <c r="AL641"/>
      <c r="AM641"/>
      <c r="AN641"/>
      <c r="AO641"/>
      <c r="AP641"/>
      <c r="AQ641"/>
      <c r="AR641"/>
      <c r="AS641"/>
      <c r="AT641"/>
      <c r="AU641"/>
      <c r="AV641"/>
      <c r="AW641"/>
      <c r="AX641"/>
      <c r="AY641"/>
      <c r="AZ641"/>
      <c r="BA641"/>
      <c r="BB641"/>
      <c r="BC641"/>
      <c r="BD641"/>
      <c r="BE641"/>
      <c r="BF641"/>
      <c r="BG641"/>
      <c r="BH641"/>
      <c r="BI641"/>
      <c r="BJ641"/>
      <c r="BK641"/>
      <c r="BL641"/>
      <c r="BM641"/>
      <c r="BN641"/>
      <c r="BO641"/>
      <c r="BP641"/>
      <c r="BQ641"/>
      <c r="BR641"/>
      <c r="BS641"/>
      <c r="BT641"/>
      <c r="BU641"/>
      <c r="BV641"/>
      <c r="BW641"/>
      <c r="BX641"/>
      <c r="BY641"/>
      <c r="BZ641"/>
    </row>
    <row r="642" spans="4:78" x14ac:dyDescent="0.25">
      <c r="D642"/>
      <c r="E642"/>
      <c r="F642"/>
      <c r="G642"/>
      <c r="H642"/>
      <c r="I642"/>
      <c r="J642"/>
      <c r="K642"/>
      <c r="L642"/>
      <c r="M642"/>
      <c r="N642"/>
      <c r="O642"/>
      <c r="P642"/>
      <c r="Q642"/>
      <c r="R642"/>
      <c r="S642"/>
      <c r="T642"/>
      <c r="U642"/>
      <c r="V642"/>
      <c r="W642"/>
      <c r="X642"/>
      <c r="Y642"/>
      <c r="Z642"/>
      <c r="AA642"/>
      <c r="AB642"/>
      <c r="AC642"/>
      <c r="AD642"/>
      <c r="AE642"/>
      <c r="AF642"/>
      <c r="AG642"/>
      <c r="AH642"/>
      <c r="AI642"/>
      <c r="AJ642"/>
      <c r="AK642"/>
      <c r="AL642"/>
      <c r="AM642"/>
      <c r="AN642"/>
      <c r="AO642"/>
      <c r="AP642"/>
      <c r="AQ642"/>
      <c r="AR642"/>
      <c r="AS642"/>
      <c r="AT642"/>
      <c r="AU642"/>
      <c r="AV642"/>
      <c r="AW642"/>
      <c r="AX642"/>
      <c r="AY642"/>
      <c r="AZ642"/>
      <c r="BA642"/>
      <c r="BB642"/>
      <c r="BC642"/>
      <c r="BD642"/>
      <c r="BE642"/>
      <c r="BF642"/>
      <c r="BG642"/>
      <c r="BH642"/>
      <c r="BI642"/>
      <c r="BJ642"/>
      <c r="BK642"/>
      <c r="BL642"/>
      <c r="BM642"/>
      <c r="BN642"/>
      <c r="BO642"/>
      <c r="BP642"/>
      <c r="BQ642"/>
      <c r="BR642"/>
      <c r="BS642"/>
      <c r="BT642"/>
      <c r="BU642"/>
      <c r="BV642"/>
      <c r="BW642"/>
      <c r="BX642"/>
      <c r="BY642"/>
      <c r="BZ642"/>
    </row>
    <row r="643" spans="4:78" x14ac:dyDescent="0.25">
      <c r="D643"/>
      <c r="E643"/>
      <c r="F643"/>
      <c r="G643"/>
      <c r="H643"/>
      <c r="I643"/>
      <c r="J643"/>
      <c r="K643"/>
      <c r="L643"/>
      <c r="M643"/>
      <c r="N643"/>
      <c r="O643"/>
      <c r="P643"/>
      <c r="Q643"/>
      <c r="R643"/>
      <c r="S643"/>
      <c r="T643"/>
      <c r="U643"/>
      <c r="V643"/>
      <c r="W643"/>
      <c r="X643"/>
      <c r="Y643"/>
      <c r="Z643"/>
      <c r="AA643"/>
      <c r="AB643"/>
      <c r="AC643"/>
      <c r="AD643"/>
      <c r="AE643"/>
      <c r="AF643"/>
      <c r="AG643"/>
      <c r="AH643"/>
      <c r="AI643"/>
      <c r="AJ643"/>
      <c r="AK643"/>
      <c r="AL643"/>
      <c r="AM643"/>
      <c r="AN643"/>
      <c r="AO643"/>
      <c r="AP643"/>
      <c r="AQ643"/>
      <c r="AR643"/>
      <c r="AS643"/>
      <c r="AT643"/>
      <c r="AU643"/>
      <c r="AV643"/>
      <c r="AW643"/>
      <c r="AX643"/>
      <c r="AY643"/>
      <c r="AZ643"/>
      <c r="BA643"/>
      <c r="BB643"/>
      <c r="BC643"/>
      <c r="BD643"/>
      <c r="BE643"/>
      <c r="BF643"/>
      <c r="BG643"/>
      <c r="BH643"/>
      <c r="BI643"/>
      <c r="BJ643"/>
      <c r="BK643"/>
      <c r="BL643"/>
      <c r="BM643"/>
      <c r="BN643"/>
      <c r="BO643"/>
      <c r="BP643"/>
      <c r="BQ643"/>
      <c r="BR643"/>
      <c r="BS643"/>
      <c r="BT643"/>
      <c r="BU643"/>
      <c r="BV643"/>
      <c r="BW643"/>
      <c r="BX643"/>
      <c r="BY643"/>
      <c r="BZ643"/>
    </row>
    <row r="644" spans="4:78" x14ac:dyDescent="0.25">
      <c r="D644"/>
      <c r="E644"/>
      <c r="F644"/>
      <c r="G644"/>
      <c r="H644"/>
      <c r="I644"/>
      <c r="J644"/>
      <c r="K644"/>
      <c r="L644"/>
      <c r="M644"/>
      <c r="N644"/>
      <c r="O644"/>
      <c r="P644"/>
      <c r="Q644"/>
      <c r="R644"/>
      <c r="S644"/>
      <c r="T644"/>
      <c r="U644"/>
      <c r="V644"/>
      <c r="W644"/>
      <c r="X644"/>
      <c r="Y644"/>
      <c r="Z644"/>
      <c r="AA644"/>
      <c r="AB644"/>
      <c r="AC644"/>
      <c r="AD644"/>
      <c r="AE644"/>
      <c r="AF644"/>
      <c r="AG644"/>
      <c r="AH644"/>
      <c r="AI644"/>
      <c r="AJ644"/>
      <c r="AK644"/>
      <c r="AL644"/>
      <c r="AM644"/>
      <c r="AN644"/>
      <c r="AO644"/>
      <c r="AP644"/>
      <c r="AQ644"/>
      <c r="AR644"/>
      <c r="AS644"/>
      <c r="AT644"/>
      <c r="AU644"/>
      <c r="AV644"/>
      <c r="AW644"/>
      <c r="AX644"/>
      <c r="AY644"/>
      <c r="AZ644"/>
      <c r="BA644"/>
      <c r="BB644"/>
      <c r="BC644"/>
      <c r="BD644"/>
      <c r="BE644"/>
      <c r="BF644"/>
      <c r="BG644"/>
      <c r="BH644"/>
      <c r="BI644"/>
      <c r="BJ644"/>
      <c r="BK644"/>
      <c r="BL644"/>
      <c r="BM644"/>
      <c r="BN644"/>
      <c r="BO644"/>
      <c r="BP644"/>
      <c r="BQ644"/>
      <c r="BR644"/>
      <c r="BS644"/>
      <c r="BT644"/>
      <c r="BU644"/>
      <c r="BV644"/>
      <c r="BW644"/>
      <c r="BX644"/>
      <c r="BY644"/>
      <c r="BZ644"/>
    </row>
    <row r="645" spans="4:78" x14ac:dyDescent="0.25">
      <c r="D645"/>
      <c r="E645"/>
      <c r="F645"/>
      <c r="G645"/>
      <c r="H645"/>
      <c r="I645"/>
      <c r="J645"/>
      <c r="K645"/>
      <c r="L645"/>
      <c r="M645"/>
      <c r="N645"/>
      <c r="O645"/>
      <c r="P645"/>
      <c r="Q645"/>
      <c r="R645"/>
      <c r="S645"/>
      <c r="T645"/>
      <c r="U645"/>
      <c r="V645"/>
      <c r="W645"/>
      <c r="X645"/>
      <c r="Y645"/>
      <c r="Z645"/>
      <c r="AA645"/>
      <c r="AB645"/>
      <c r="AC645"/>
      <c r="AD645"/>
      <c r="AE645"/>
      <c r="AF645"/>
      <c r="AG645"/>
      <c r="AH645"/>
      <c r="AI645"/>
      <c r="AJ645"/>
      <c r="AK645"/>
      <c r="AL645"/>
      <c r="AM645"/>
      <c r="AN645"/>
      <c r="AO645"/>
      <c r="AP645"/>
      <c r="AQ645"/>
      <c r="AR645"/>
      <c r="AS645"/>
      <c r="AT645"/>
      <c r="AU645"/>
      <c r="AV645"/>
      <c r="AW645"/>
      <c r="AX645"/>
      <c r="AY645"/>
      <c r="AZ645"/>
      <c r="BA645"/>
      <c r="BB645"/>
      <c r="BC645"/>
      <c r="BD645"/>
      <c r="BE645"/>
      <c r="BF645"/>
      <c r="BG645"/>
      <c r="BH645"/>
      <c r="BI645"/>
      <c r="BJ645"/>
      <c r="BK645"/>
      <c r="BL645"/>
      <c r="BM645"/>
      <c r="BN645"/>
      <c r="BO645"/>
      <c r="BP645"/>
      <c r="BQ645"/>
      <c r="BR645"/>
      <c r="BS645"/>
      <c r="BT645"/>
      <c r="BU645"/>
      <c r="BV645"/>
      <c r="BW645"/>
      <c r="BX645"/>
      <c r="BY645"/>
      <c r="BZ645"/>
    </row>
    <row r="646" spans="4:78" x14ac:dyDescent="0.25">
      <c r="D646"/>
      <c r="E646"/>
      <c r="F646"/>
      <c r="G646"/>
      <c r="H646"/>
      <c r="I646"/>
      <c r="J646"/>
      <c r="K646"/>
      <c r="L646"/>
      <c r="M646"/>
      <c r="N646"/>
      <c r="O646"/>
      <c r="P646"/>
      <c r="Q646"/>
      <c r="R646"/>
      <c r="S646"/>
      <c r="T646"/>
      <c r="U646"/>
      <c r="V646"/>
      <c r="W646"/>
      <c r="X646"/>
      <c r="Y646"/>
      <c r="Z646"/>
      <c r="AA646"/>
      <c r="AB646"/>
      <c r="AC646"/>
      <c r="AD646"/>
      <c r="AE646"/>
      <c r="AF646"/>
      <c r="AG646"/>
      <c r="AH646"/>
      <c r="AI646"/>
      <c r="AJ646"/>
      <c r="AK646"/>
      <c r="AL646"/>
      <c r="AM646"/>
      <c r="AN646"/>
      <c r="AO646"/>
      <c r="AP646"/>
      <c r="AQ646"/>
      <c r="AR646"/>
      <c r="AS646"/>
      <c r="AT646"/>
      <c r="AU646"/>
      <c r="AV646"/>
      <c r="AW646"/>
      <c r="AX646"/>
      <c r="AY646"/>
      <c r="AZ646"/>
      <c r="BA646"/>
      <c r="BB646"/>
      <c r="BC646"/>
      <c r="BD646"/>
      <c r="BE646"/>
      <c r="BF646"/>
      <c r="BG646"/>
      <c r="BH646"/>
      <c r="BI646"/>
      <c r="BJ646"/>
      <c r="BK646"/>
      <c r="BL646"/>
      <c r="BM646"/>
      <c r="BN646"/>
      <c r="BO646"/>
      <c r="BP646"/>
      <c r="BQ646"/>
      <c r="BR646"/>
      <c r="BS646"/>
      <c r="BT646"/>
      <c r="BU646"/>
      <c r="BV646"/>
      <c r="BW646"/>
      <c r="BX646"/>
      <c r="BY646"/>
      <c r="BZ646"/>
    </row>
    <row r="647" spans="4:78" x14ac:dyDescent="0.25">
      <c r="D647"/>
      <c r="E647"/>
      <c r="F647"/>
      <c r="G647"/>
      <c r="H647"/>
      <c r="I647"/>
      <c r="J647"/>
      <c r="K647"/>
      <c r="L647"/>
      <c r="M647"/>
      <c r="N647"/>
      <c r="O647"/>
      <c r="P647"/>
      <c r="Q647"/>
      <c r="R647"/>
      <c r="S647"/>
      <c r="T647"/>
      <c r="U647"/>
      <c r="V647"/>
      <c r="W647"/>
      <c r="X647"/>
      <c r="Y647"/>
      <c r="Z647"/>
      <c r="AA647"/>
      <c r="AB647"/>
      <c r="AC647"/>
      <c r="AD647"/>
      <c r="AE647"/>
      <c r="AF647"/>
      <c r="AG647"/>
      <c r="AH647"/>
      <c r="AI647"/>
      <c r="AJ647"/>
      <c r="AK647"/>
      <c r="AL647"/>
      <c r="AM647"/>
      <c r="AN647"/>
      <c r="AO647"/>
      <c r="AP647"/>
      <c r="AQ647"/>
      <c r="AR647"/>
      <c r="AS647"/>
      <c r="AT647"/>
      <c r="AU647"/>
      <c r="AV647"/>
      <c r="AW647"/>
      <c r="AX647"/>
      <c r="AY647"/>
      <c r="AZ647"/>
      <c r="BA647"/>
      <c r="BB647"/>
      <c r="BC647"/>
      <c r="BD647"/>
      <c r="BE647"/>
      <c r="BF647"/>
      <c r="BG647"/>
      <c r="BH647"/>
      <c r="BI647"/>
      <c r="BJ647"/>
      <c r="BK647"/>
      <c r="BL647"/>
      <c r="BM647"/>
      <c r="BN647"/>
      <c r="BO647"/>
      <c r="BP647"/>
      <c r="BQ647"/>
      <c r="BR647"/>
      <c r="BS647"/>
      <c r="BT647"/>
      <c r="BU647"/>
      <c r="BV647"/>
      <c r="BW647"/>
      <c r="BX647"/>
      <c r="BY647"/>
      <c r="BZ647"/>
    </row>
    <row r="648" spans="4:78" x14ac:dyDescent="0.25">
      <c r="D648"/>
      <c r="E648"/>
      <c r="F648"/>
      <c r="G648"/>
      <c r="H648"/>
      <c r="I648"/>
      <c r="J648"/>
      <c r="K648"/>
      <c r="L648"/>
      <c r="M648"/>
      <c r="N648"/>
      <c r="O648"/>
      <c r="P648"/>
      <c r="Q648"/>
      <c r="R648"/>
      <c r="S648"/>
      <c r="T648"/>
      <c r="U648"/>
      <c r="V648"/>
      <c r="W648"/>
      <c r="X648"/>
      <c r="Y648"/>
      <c r="Z648"/>
      <c r="AA648"/>
      <c r="AB648"/>
      <c r="AC648"/>
      <c r="AD648"/>
      <c r="AE648"/>
      <c r="AF648"/>
      <c r="AG648"/>
      <c r="AH648"/>
      <c r="AI648"/>
      <c r="AJ648"/>
      <c r="AK648"/>
      <c r="AL648"/>
      <c r="AM648"/>
      <c r="AN648"/>
      <c r="AO648"/>
      <c r="AP648"/>
      <c r="AQ648"/>
      <c r="AR648"/>
      <c r="AS648"/>
      <c r="AT648"/>
      <c r="AU648"/>
      <c r="AV648"/>
      <c r="AW648"/>
      <c r="AX648"/>
      <c r="AY648"/>
      <c r="AZ648"/>
      <c r="BA648"/>
      <c r="BB648"/>
      <c r="BC648"/>
      <c r="BD648"/>
      <c r="BE648"/>
      <c r="BF648"/>
      <c r="BG648"/>
      <c r="BH648"/>
      <c r="BI648"/>
      <c r="BJ648"/>
      <c r="BK648"/>
      <c r="BL648"/>
      <c r="BM648"/>
      <c r="BN648"/>
      <c r="BO648"/>
      <c r="BP648"/>
      <c r="BQ648"/>
      <c r="BR648"/>
      <c r="BS648"/>
      <c r="BT648"/>
      <c r="BU648"/>
      <c r="BV648"/>
      <c r="BW648"/>
      <c r="BX648"/>
      <c r="BY648"/>
      <c r="BZ648"/>
    </row>
    <row r="649" spans="4:78" x14ac:dyDescent="0.25">
      <c r="D649"/>
      <c r="E649"/>
      <c r="F649"/>
      <c r="G649"/>
      <c r="H649"/>
      <c r="I649"/>
      <c r="J649"/>
      <c r="K649"/>
      <c r="L649"/>
      <c r="M649"/>
      <c r="N649"/>
      <c r="O649"/>
      <c r="P649"/>
      <c r="Q649"/>
      <c r="R649"/>
      <c r="S649"/>
      <c r="T649"/>
      <c r="U649"/>
      <c r="V649"/>
      <c r="W649"/>
      <c r="X649"/>
      <c r="Y649"/>
      <c r="Z649"/>
      <c r="AA649"/>
      <c r="AB649"/>
      <c r="AC649"/>
      <c r="AD649"/>
      <c r="AE649"/>
      <c r="AF649"/>
      <c r="AG649"/>
      <c r="AH649"/>
      <c r="AI649"/>
      <c r="AJ649"/>
      <c r="AK649"/>
      <c r="AL649"/>
      <c r="AM649"/>
      <c r="AN649"/>
      <c r="AO649"/>
      <c r="AP649"/>
      <c r="AQ649"/>
      <c r="AR649"/>
      <c r="AS649"/>
      <c r="AT649"/>
      <c r="AU649"/>
      <c r="AV649"/>
      <c r="AW649"/>
      <c r="AX649"/>
      <c r="AY649"/>
      <c r="AZ649"/>
      <c r="BA649"/>
      <c r="BB649"/>
      <c r="BC649"/>
      <c r="BD649"/>
      <c r="BE649"/>
      <c r="BF649"/>
      <c r="BG649"/>
      <c r="BH649"/>
      <c r="BI649"/>
      <c r="BJ649"/>
      <c r="BK649"/>
      <c r="BL649"/>
      <c r="BM649"/>
      <c r="BN649"/>
      <c r="BO649"/>
      <c r="BP649"/>
      <c r="BQ649"/>
      <c r="BR649"/>
      <c r="BS649"/>
      <c r="BT649"/>
      <c r="BU649"/>
      <c r="BV649"/>
      <c r="BW649"/>
      <c r="BX649"/>
      <c r="BY649"/>
      <c r="BZ649"/>
    </row>
    <row r="650" spans="4:78" x14ac:dyDescent="0.25">
      <c r="D650"/>
      <c r="E650"/>
      <c r="F650"/>
      <c r="G650"/>
      <c r="H650"/>
      <c r="I650"/>
      <c r="J650"/>
      <c r="K650"/>
      <c r="L650"/>
      <c r="M650"/>
      <c r="N650"/>
      <c r="O650"/>
      <c r="P650"/>
      <c r="Q650"/>
      <c r="R650"/>
      <c r="S650"/>
      <c r="T650"/>
      <c r="U650"/>
      <c r="V650"/>
      <c r="W650"/>
      <c r="X650"/>
      <c r="Y650"/>
      <c r="Z650"/>
      <c r="AA650"/>
      <c r="AB650"/>
      <c r="AC650"/>
      <c r="AD650"/>
      <c r="AE650"/>
      <c r="AF650"/>
      <c r="AG650"/>
      <c r="AH650"/>
      <c r="AI650"/>
      <c r="AJ650"/>
      <c r="AK650"/>
      <c r="AL650"/>
      <c r="AM650"/>
      <c r="AN650"/>
      <c r="AO650"/>
      <c r="AP650"/>
      <c r="AQ650"/>
      <c r="AR650"/>
      <c r="AS650"/>
      <c r="AT650"/>
      <c r="AU650"/>
      <c r="AV650"/>
      <c r="AW650"/>
      <c r="AX650"/>
      <c r="AY650"/>
      <c r="AZ650"/>
      <c r="BA650"/>
      <c r="BB650"/>
      <c r="BC650"/>
      <c r="BD650"/>
      <c r="BE650"/>
      <c r="BF650"/>
      <c r="BG650"/>
      <c r="BH650"/>
      <c r="BI650"/>
      <c r="BJ650"/>
      <c r="BK650"/>
      <c r="BL650"/>
      <c r="BM650"/>
      <c r="BN650"/>
      <c r="BO650"/>
      <c r="BP650"/>
      <c r="BQ650"/>
      <c r="BR650"/>
      <c r="BS650"/>
      <c r="BT650"/>
      <c r="BU650"/>
      <c r="BV650"/>
      <c r="BW650"/>
      <c r="BX650"/>
      <c r="BY650"/>
      <c r="BZ650"/>
    </row>
    <row r="651" spans="4:78" x14ac:dyDescent="0.25">
      <c r="D651"/>
      <c r="E651"/>
      <c r="F651"/>
      <c r="G651"/>
      <c r="H651"/>
      <c r="I651"/>
      <c r="J651"/>
      <c r="K651"/>
      <c r="L651"/>
      <c r="M651"/>
      <c r="N651"/>
      <c r="O651"/>
      <c r="P651"/>
      <c r="Q651"/>
      <c r="R651"/>
      <c r="S651"/>
      <c r="T651"/>
      <c r="U651"/>
      <c r="V651"/>
      <c r="W651"/>
      <c r="X651"/>
      <c r="Y651"/>
      <c r="Z651"/>
      <c r="AA651"/>
      <c r="AB651"/>
      <c r="AC651"/>
      <c r="AD651"/>
      <c r="AE651"/>
      <c r="AF651"/>
      <c r="AG651"/>
      <c r="AH651"/>
      <c r="AI651"/>
      <c r="AJ651"/>
      <c r="AK651"/>
      <c r="AL651"/>
      <c r="AM651"/>
      <c r="AN651"/>
      <c r="AO651"/>
      <c r="AP651"/>
      <c r="AQ651"/>
      <c r="AR651"/>
      <c r="AS651"/>
      <c r="AT651"/>
      <c r="AU651"/>
      <c r="AV651"/>
      <c r="AW651"/>
      <c r="AX651"/>
      <c r="AY651"/>
      <c r="AZ651"/>
      <c r="BA651"/>
      <c r="BB651"/>
      <c r="BC651"/>
      <c r="BD651"/>
      <c r="BE651"/>
      <c r="BF651"/>
      <c r="BG651"/>
      <c r="BH651"/>
      <c r="BI651"/>
      <c r="BJ651"/>
      <c r="BK651"/>
      <c r="BL651"/>
      <c r="BM651"/>
      <c r="BN651"/>
      <c r="BO651"/>
      <c r="BP651"/>
      <c r="BQ651"/>
      <c r="BR651"/>
      <c r="BS651"/>
      <c r="BT651"/>
      <c r="BU651"/>
      <c r="BV651"/>
      <c r="BW651"/>
      <c r="BX651"/>
      <c r="BY651"/>
      <c r="BZ651"/>
    </row>
    <row r="652" spans="4:78" x14ac:dyDescent="0.25">
      <c r="D652"/>
      <c r="E652"/>
      <c r="F652"/>
      <c r="G652"/>
      <c r="H652"/>
      <c r="I652"/>
      <c r="J652"/>
      <c r="K652"/>
      <c r="L652"/>
      <c r="M652"/>
      <c r="N652"/>
      <c r="O652"/>
      <c r="P652"/>
      <c r="Q652"/>
      <c r="R652"/>
      <c r="S652"/>
      <c r="T652"/>
      <c r="U652"/>
      <c r="V652"/>
      <c r="W652"/>
      <c r="X652"/>
      <c r="Y652"/>
      <c r="Z652"/>
      <c r="AA652"/>
      <c r="AB652"/>
      <c r="AC652"/>
      <c r="AD652"/>
      <c r="AE652"/>
      <c r="AF652"/>
      <c r="AG652"/>
      <c r="AH652"/>
      <c r="AI652"/>
      <c r="AJ652"/>
      <c r="AK652"/>
      <c r="AL652"/>
      <c r="AM652"/>
      <c r="AN652"/>
      <c r="AO652"/>
      <c r="AP652"/>
      <c r="AQ652"/>
      <c r="AR652"/>
      <c r="AS652"/>
      <c r="AT652"/>
      <c r="AU652"/>
      <c r="AV652"/>
      <c r="AW652"/>
      <c r="AX652"/>
      <c r="AY652"/>
      <c r="AZ652"/>
      <c r="BA652"/>
      <c r="BB652"/>
      <c r="BC652"/>
      <c r="BD652"/>
      <c r="BE652"/>
      <c r="BF652"/>
      <c r="BG652"/>
      <c r="BH652"/>
      <c r="BI652"/>
      <c r="BJ652"/>
      <c r="BK652"/>
      <c r="BL652"/>
      <c r="BM652"/>
      <c r="BN652"/>
      <c r="BO652"/>
      <c r="BP652"/>
      <c r="BQ652"/>
      <c r="BR652"/>
      <c r="BS652"/>
      <c r="BT652"/>
      <c r="BU652"/>
      <c r="BV652"/>
      <c r="BW652"/>
      <c r="BX652"/>
      <c r="BY652"/>
      <c r="BZ652"/>
    </row>
    <row r="653" spans="4:78" x14ac:dyDescent="0.25">
      <c r="D653"/>
      <c r="E653"/>
      <c r="F653"/>
      <c r="G653"/>
      <c r="H653"/>
      <c r="I653"/>
      <c r="J653"/>
      <c r="K653"/>
      <c r="L653"/>
      <c r="M653"/>
      <c r="N653"/>
      <c r="O653"/>
      <c r="P653"/>
      <c r="Q653"/>
      <c r="R653"/>
      <c r="S653"/>
      <c r="T653"/>
      <c r="U653"/>
      <c r="V653"/>
      <c r="W653"/>
      <c r="X653"/>
      <c r="Y653"/>
      <c r="Z653"/>
      <c r="AA653"/>
      <c r="AB653"/>
      <c r="AC653"/>
      <c r="AD653"/>
      <c r="AE653"/>
      <c r="AF653"/>
      <c r="AG653"/>
      <c r="AH653"/>
      <c r="AI653"/>
      <c r="AJ653"/>
      <c r="AK653"/>
      <c r="AL653"/>
      <c r="AM653"/>
      <c r="AN653"/>
      <c r="AO653"/>
      <c r="AP653"/>
      <c r="AQ653"/>
      <c r="AR653"/>
      <c r="AS653"/>
      <c r="AT653"/>
      <c r="AU653"/>
      <c r="AV653"/>
      <c r="AW653"/>
      <c r="AX653"/>
      <c r="AY653"/>
      <c r="AZ653"/>
      <c r="BA653"/>
      <c r="BB653"/>
      <c r="BC653"/>
      <c r="BD653"/>
      <c r="BE653"/>
      <c r="BF653"/>
      <c r="BG653"/>
      <c r="BH653"/>
      <c r="BI653"/>
      <c r="BJ653"/>
      <c r="BK653"/>
      <c r="BL653"/>
      <c r="BM653"/>
      <c r="BN653"/>
      <c r="BO653"/>
      <c r="BP653"/>
      <c r="BQ653"/>
      <c r="BR653"/>
      <c r="BS653"/>
      <c r="BT653"/>
      <c r="BU653"/>
      <c r="BV653"/>
      <c r="BW653"/>
      <c r="BX653"/>
      <c r="BY653"/>
      <c r="BZ653"/>
    </row>
    <row r="654" spans="4:78" x14ac:dyDescent="0.25">
      <c r="D654"/>
      <c r="E654"/>
      <c r="F654"/>
      <c r="G654"/>
      <c r="H654"/>
      <c r="I654"/>
      <c r="J654"/>
      <c r="K654"/>
      <c r="L654"/>
      <c r="M654"/>
      <c r="N654"/>
      <c r="O654"/>
      <c r="P654"/>
      <c r="Q654"/>
      <c r="R654"/>
      <c r="S654"/>
      <c r="T654"/>
      <c r="U654"/>
      <c r="V654"/>
      <c r="W654"/>
      <c r="X654"/>
      <c r="Y654"/>
      <c r="Z654"/>
      <c r="AA654"/>
      <c r="AB654"/>
      <c r="AC654"/>
      <c r="AD654"/>
      <c r="AE654"/>
      <c r="AF654"/>
      <c r="AG654"/>
      <c r="AH654"/>
      <c r="AI654"/>
      <c r="AJ654"/>
      <c r="AK654"/>
      <c r="AL654"/>
      <c r="AM654"/>
      <c r="AN654"/>
      <c r="AO654"/>
      <c r="AP654"/>
      <c r="AQ654"/>
      <c r="AR654"/>
      <c r="AS654"/>
      <c r="AT654"/>
      <c r="AU654"/>
      <c r="AV654"/>
      <c r="AW654"/>
      <c r="AX654"/>
      <c r="AY654"/>
      <c r="AZ654"/>
      <c r="BA654"/>
      <c r="BB654"/>
      <c r="BC654"/>
      <c r="BD654"/>
      <c r="BE654"/>
      <c r="BF654"/>
      <c r="BG654"/>
      <c r="BH654"/>
      <c r="BI654"/>
      <c r="BJ654"/>
      <c r="BK654"/>
      <c r="BL654"/>
      <c r="BM654"/>
      <c r="BN654"/>
      <c r="BO654"/>
      <c r="BP654"/>
      <c r="BQ654"/>
      <c r="BR654"/>
      <c r="BS654"/>
      <c r="BT654"/>
      <c r="BU654"/>
      <c r="BV654"/>
      <c r="BW654"/>
      <c r="BX654"/>
      <c r="BY654"/>
      <c r="BZ654"/>
    </row>
    <row r="655" spans="4:78" x14ac:dyDescent="0.25">
      <c r="D655"/>
      <c r="E655"/>
      <c r="F655"/>
      <c r="G655"/>
      <c r="H655"/>
      <c r="I655"/>
      <c r="J655"/>
      <c r="K655"/>
      <c r="L655"/>
      <c r="M655"/>
      <c r="N655"/>
      <c r="O655"/>
      <c r="P655"/>
      <c r="Q655"/>
      <c r="R655"/>
      <c r="S655"/>
      <c r="T655"/>
      <c r="U655"/>
      <c r="V655"/>
      <c r="W655"/>
      <c r="X655"/>
      <c r="Y655"/>
      <c r="Z655"/>
      <c r="AA655"/>
      <c r="AB655"/>
      <c r="AC655"/>
      <c r="AD655"/>
      <c r="AE655"/>
      <c r="AF655"/>
      <c r="AG655"/>
      <c r="AH655"/>
      <c r="AI655"/>
      <c r="AJ655"/>
      <c r="AK655"/>
      <c r="AL655"/>
      <c r="AM655"/>
      <c r="AN655"/>
      <c r="AO655"/>
      <c r="AP655"/>
      <c r="AQ655"/>
      <c r="AR655"/>
      <c r="AS655"/>
      <c r="AT655"/>
      <c r="AU655"/>
      <c r="AV655"/>
      <c r="AW655"/>
      <c r="AX655"/>
      <c r="AY655"/>
      <c r="AZ655"/>
      <c r="BA655"/>
      <c r="BB655"/>
      <c r="BC655"/>
      <c r="BD655"/>
      <c r="BE655"/>
      <c r="BF655"/>
      <c r="BG655"/>
      <c r="BH655"/>
      <c r="BI655"/>
      <c r="BJ655"/>
      <c r="BK655"/>
      <c r="BL655"/>
      <c r="BM655"/>
      <c r="BN655"/>
      <c r="BO655"/>
      <c r="BP655"/>
      <c r="BQ655"/>
      <c r="BR655"/>
      <c r="BS655"/>
      <c r="BT655"/>
      <c r="BU655"/>
      <c r="BV655"/>
      <c r="BW655"/>
      <c r="BX655"/>
      <c r="BY655"/>
      <c r="BZ655"/>
    </row>
    <row r="656" spans="4:78" x14ac:dyDescent="0.25">
      <c r="D656"/>
      <c r="E656"/>
      <c r="F656"/>
      <c r="G656"/>
      <c r="H656"/>
      <c r="I656"/>
      <c r="J656"/>
      <c r="K656"/>
      <c r="L656"/>
      <c r="M656"/>
      <c r="N656"/>
      <c r="O656"/>
      <c r="P656"/>
      <c r="Q656"/>
      <c r="R656"/>
      <c r="S656"/>
      <c r="T656"/>
      <c r="U656"/>
      <c r="V656"/>
      <c r="W656"/>
      <c r="X656"/>
      <c r="Y656"/>
      <c r="Z656"/>
      <c r="AA656"/>
      <c r="AB656"/>
      <c r="AC656"/>
      <c r="AD656"/>
      <c r="AE656"/>
      <c r="AF656"/>
      <c r="AG656"/>
      <c r="AH656"/>
      <c r="AI656"/>
      <c r="AJ656"/>
      <c r="AK656"/>
      <c r="AL656"/>
      <c r="AM656"/>
      <c r="AN656"/>
      <c r="AO656"/>
      <c r="AP656"/>
      <c r="AQ656"/>
      <c r="AR656"/>
      <c r="AS656"/>
      <c r="AT656"/>
      <c r="AU656"/>
      <c r="AV656"/>
      <c r="AW656"/>
      <c r="AX656"/>
      <c r="AY656"/>
      <c r="AZ656"/>
      <c r="BA656"/>
      <c r="BB656"/>
      <c r="BC656"/>
      <c r="BD656"/>
      <c r="BE656"/>
      <c r="BF656"/>
      <c r="BG656"/>
      <c r="BH656"/>
      <c r="BI656"/>
      <c r="BJ656"/>
      <c r="BK656"/>
      <c r="BL656"/>
      <c r="BM656"/>
      <c r="BN656"/>
      <c r="BO656"/>
      <c r="BP656"/>
      <c r="BQ656"/>
      <c r="BR656"/>
      <c r="BS656"/>
      <c r="BT656"/>
      <c r="BU656"/>
      <c r="BV656"/>
      <c r="BW656"/>
      <c r="BX656"/>
      <c r="BY656"/>
      <c r="BZ656"/>
    </row>
    <row r="657" spans="4:78" x14ac:dyDescent="0.25">
      <c r="D657"/>
      <c r="E657"/>
      <c r="F657"/>
      <c r="G657"/>
      <c r="H657"/>
      <c r="I657"/>
      <c r="J657"/>
      <c r="K657"/>
      <c r="L657"/>
      <c r="M657"/>
      <c r="N657"/>
      <c r="O657"/>
      <c r="P657"/>
      <c r="Q657"/>
      <c r="R657"/>
      <c r="S657"/>
      <c r="T657"/>
      <c r="U657"/>
      <c r="V657"/>
      <c r="W657"/>
      <c r="X657"/>
      <c r="Y657"/>
      <c r="Z657"/>
      <c r="AA657"/>
      <c r="AB657"/>
      <c r="AC657"/>
      <c r="AD657"/>
      <c r="AE657"/>
      <c r="AF657"/>
      <c r="AG657"/>
      <c r="AH657"/>
      <c r="AI657"/>
      <c r="AJ657"/>
      <c r="AK657"/>
      <c r="AL657"/>
      <c r="AM657"/>
      <c r="AN657"/>
      <c r="AO657"/>
      <c r="AP657"/>
      <c r="AQ657"/>
      <c r="AR657"/>
      <c r="AS657"/>
      <c r="AT657"/>
      <c r="AU657"/>
      <c r="AV657"/>
      <c r="AW657"/>
      <c r="AX657"/>
      <c r="AY657"/>
      <c r="AZ657"/>
      <c r="BA657"/>
      <c r="BB657"/>
      <c r="BC657"/>
      <c r="BD657"/>
      <c r="BE657"/>
      <c r="BF657"/>
      <c r="BG657"/>
      <c r="BH657"/>
      <c r="BI657"/>
      <c r="BJ657"/>
      <c r="BK657"/>
      <c r="BL657"/>
      <c r="BM657"/>
      <c r="BN657"/>
      <c r="BO657"/>
      <c r="BP657"/>
      <c r="BQ657"/>
      <c r="BR657"/>
      <c r="BS657"/>
      <c r="BT657"/>
      <c r="BU657"/>
      <c r="BV657"/>
      <c r="BW657"/>
      <c r="BX657"/>
      <c r="BY657"/>
      <c r="BZ657"/>
    </row>
    <row r="658" spans="4:78" x14ac:dyDescent="0.25">
      <c r="D658"/>
      <c r="E658"/>
      <c r="F658"/>
      <c r="G658"/>
      <c r="H658"/>
      <c r="I658"/>
      <c r="J658"/>
      <c r="K658"/>
      <c r="L658"/>
      <c r="M658"/>
      <c r="N658"/>
      <c r="O658"/>
      <c r="P658"/>
      <c r="Q658"/>
      <c r="R658"/>
      <c r="S658"/>
      <c r="T658"/>
      <c r="U658"/>
      <c r="V658"/>
      <c r="W658"/>
      <c r="X658"/>
      <c r="Y658"/>
      <c r="Z658"/>
      <c r="AA658"/>
      <c r="AB658"/>
      <c r="AC658"/>
      <c r="AD658"/>
      <c r="AE658"/>
      <c r="AF658"/>
      <c r="AG658"/>
      <c r="AH658"/>
      <c r="AI658"/>
      <c r="AJ658"/>
      <c r="AK658"/>
      <c r="AL658"/>
      <c r="AM658"/>
      <c r="AN658"/>
      <c r="AO658"/>
      <c r="AP658"/>
      <c r="AQ658"/>
      <c r="AR658"/>
      <c r="AS658"/>
      <c r="AT658"/>
      <c r="AU658"/>
      <c r="AV658"/>
      <c r="AW658"/>
      <c r="AX658"/>
      <c r="AY658"/>
      <c r="AZ658"/>
      <c r="BA658"/>
      <c r="BB658"/>
      <c r="BC658"/>
      <c r="BD658"/>
      <c r="BE658"/>
      <c r="BF658"/>
      <c r="BG658"/>
      <c r="BH658"/>
      <c r="BI658"/>
      <c r="BJ658"/>
      <c r="BK658"/>
      <c r="BL658"/>
      <c r="BM658"/>
      <c r="BN658"/>
      <c r="BO658"/>
      <c r="BP658"/>
      <c r="BQ658"/>
      <c r="BR658"/>
      <c r="BS658"/>
      <c r="BT658"/>
      <c r="BU658"/>
      <c r="BV658"/>
      <c r="BW658"/>
      <c r="BX658"/>
      <c r="BY658"/>
      <c r="BZ658"/>
    </row>
    <row r="659" spans="4:78" x14ac:dyDescent="0.25">
      <c r="D659"/>
      <c r="E659"/>
      <c r="F659"/>
      <c r="G659"/>
      <c r="H659"/>
      <c r="I659"/>
      <c r="J659"/>
      <c r="K659"/>
      <c r="L659"/>
      <c r="M659"/>
      <c r="N659"/>
      <c r="O659"/>
      <c r="P659"/>
      <c r="Q659"/>
      <c r="R659"/>
      <c r="S659"/>
      <c r="T659"/>
      <c r="U659"/>
      <c r="V659"/>
      <c r="W659"/>
      <c r="X659"/>
      <c r="Y659"/>
      <c r="Z659"/>
      <c r="AA659"/>
      <c r="AB659"/>
      <c r="AC659"/>
      <c r="AD659"/>
      <c r="AE659"/>
      <c r="AF659"/>
      <c r="AG659"/>
      <c r="AH659"/>
      <c r="AI659"/>
      <c r="AJ659"/>
      <c r="AK659"/>
      <c r="AL659"/>
      <c r="AM659"/>
      <c r="AN659"/>
      <c r="AO659"/>
      <c r="AP659"/>
      <c r="AQ659"/>
      <c r="AR659"/>
      <c r="AS659"/>
      <c r="AT659"/>
      <c r="AU659"/>
      <c r="AV659"/>
      <c r="AW659"/>
      <c r="AX659"/>
      <c r="AY659"/>
      <c r="AZ659"/>
      <c r="BA659"/>
      <c r="BB659"/>
      <c r="BC659"/>
      <c r="BD659"/>
      <c r="BE659"/>
      <c r="BF659"/>
      <c r="BG659"/>
      <c r="BH659"/>
      <c r="BI659"/>
      <c r="BJ659"/>
      <c r="BK659"/>
      <c r="BL659"/>
      <c r="BM659"/>
      <c r="BN659"/>
      <c r="BO659"/>
      <c r="BP659"/>
      <c r="BQ659"/>
      <c r="BR659"/>
      <c r="BS659"/>
      <c r="BT659"/>
      <c r="BU659"/>
      <c r="BV659"/>
      <c r="BW659"/>
      <c r="BX659"/>
      <c r="BY659"/>
      <c r="BZ659"/>
    </row>
    <row r="660" spans="4:78" x14ac:dyDescent="0.25">
      <c r="D660"/>
      <c r="E660"/>
      <c r="F660"/>
      <c r="G660"/>
      <c r="H660"/>
      <c r="I660"/>
      <c r="J660"/>
      <c r="K660"/>
      <c r="L660"/>
      <c r="M660"/>
      <c r="N660"/>
      <c r="O660"/>
      <c r="P660"/>
      <c r="Q660"/>
      <c r="R660"/>
      <c r="S660"/>
      <c r="T660"/>
      <c r="U660"/>
      <c r="V660"/>
      <c r="W660"/>
      <c r="X660"/>
      <c r="Y660"/>
      <c r="Z660"/>
      <c r="AA660"/>
      <c r="AB660"/>
      <c r="AC660"/>
      <c r="AD660"/>
      <c r="AE660"/>
      <c r="AF660"/>
      <c r="AG660"/>
      <c r="AH660"/>
      <c r="AI660"/>
      <c r="AJ660"/>
      <c r="AK660"/>
      <c r="AL660"/>
      <c r="AM660"/>
      <c r="AN660"/>
      <c r="AO660"/>
      <c r="AP660"/>
      <c r="AQ660"/>
      <c r="AR660"/>
      <c r="AS660"/>
      <c r="AT660"/>
      <c r="AU660"/>
      <c r="AV660"/>
      <c r="AW660"/>
      <c r="AX660"/>
      <c r="AY660"/>
      <c r="AZ660"/>
      <c r="BA660"/>
      <c r="BB660"/>
      <c r="BC660"/>
      <c r="BD660"/>
      <c r="BE660"/>
      <c r="BF660"/>
      <c r="BG660"/>
      <c r="BH660"/>
      <c r="BI660"/>
      <c r="BJ660"/>
      <c r="BK660"/>
      <c r="BL660"/>
      <c r="BM660"/>
      <c r="BN660"/>
      <c r="BO660"/>
      <c r="BP660"/>
      <c r="BQ660"/>
      <c r="BR660"/>
      <c r="BS660"/>
      <c r="BT660"/>
      <c r="BU660"/>
      <c r="BV660"/>
      <c r="BW660"/>
      <c r="BX660"/>
      <c r="BY660"/>
      <c r="BZ660"/>
    </row>
    <row r="661" spans="4:78" x14ac:dyDescent="0.25">
      <c r="D661"/>
      <c r="E661"/>
      <c r="F661"/>
      <c r="G661"/>
      <c r="H661"/>
      <c r="I661"/>
      <c r="J661"/>
      <c r="K661"/>
      <c r="L661"/>
      <c r="M661"/>
      <c r="N661"/>
      <c r="O661"/>
      <c r="P661"/>
      <c r="Q661"/>
      <c r="R661"/>
      <c r="S661"/>
      <c r="T661"/>
      <c r="U661"/>
      <c r="V661"/>
      <c r="W661"/>
      <c r="X661"/>
      <c r="Y661"/>
      <c r="Z661"/>
      <c r="AA661"/>
      <c r="AB661"/>
      <c r="AC661"/>
      <c r="AD661"/>
      <c r="AE661"/>
      <c r="AF661"/>
      <c r="AG661"/>
      <c r="AH661"/>
      <c r="AI661"/>
      <c r="AJ661"/>
      <c r="AK661"/>
      <c r="AL661"/>
      <c r="AM661"/>
      <c r="AN661"/>
      <c r="AO661"/>
      <c r="AP661"/>
      <c r="AQ661"/>
      <c r="AR661"/>
      <c r="AS661"/>
      <c r="AT661"/>
      <c r="AU661"/>
      <c r="AV661"/>
      <c r="AW661"/>
      <c r="AX661"/>
      <c r="AY661"/>
      <c r="AZ661"/>
      <c r="BA661"/>
      <c r="BB661"/>
      <c r="BC661"/>
      <c r="BD661"/>
      <c r="BE661"/>
      <c r="BF661"/>
      <c r="BG661"/>
      <c r="BH661"/>
      <c r="BI661"/>
      <c r="BJ661"/>
      <c r="BK661"/>
      <c r="BL661"/>
      <c r="BM661"/>
      <c r="BN661"/>
      <c r="BO661"/>
      <c r="BP661"/>
      <c r="BQ661"/>
      <c r="BR661"/>
      <c r="BS661"/>
      <c r="BT661"/>
      <c r="BU661"/>
      <c r="BV661"/>
      <c r="BW661"/>
      <c r="BX661"/>
      <c r="BY661"/>
      <c r="BZ661"/>
    </row>
    <row r="662" spans="4:78" x14ac:dyDescent="0.25">
      <c r="D662"/>
      <c r="E662"/>
      <c r="F662"/>
      <c r="G662"/>
      <c r="H662"/>
      <c r="I662"/>
      <c r="J662"/>
      <c r="K662"/>
      <c r="L662"/>
      <c r="M662"/>
      <c r="N662"/>
      <c r="O662"/>
      <c r="P662"/>
      <c r="Q662"/>
      <c r="R662"/>
      <c r="S662"/>
      <c r="T662"/>
      <c r="U662"/>
      <c r="V662"/>
      <c r="W662"/>
      <c r="X662"/>
      <c r="Y662"/>
      <c r="Z662"/>
      <c r="AA662"/>
      <c r="AB662"/>
      <c r="AC662"/>
      <c r="AD662"/>
      <c r="AE662"/>
      <c r="AF662"/>
      <c r="AG662"/>
      <c r="AH662"/>
      <c r="AI662"/>
      <c r="AJ662"/>
      <c r="AK662"/>
      <c r="AL662"/>
      <c r="AM662"/>
      <c r="AN662"/>
      <c r="AO662"/>
      <c r="AP662"/>
      <c r="AQ662"/>
      <c r="AR662"/>
      <c r="AS662"/>
      <c r="AT662"/>
      <c r="AU662"/>
      <c r="AV662"/>
      <c r="AW662"/>
      <c r="AX662"/>
      <c r="AY662"/>
      <c r="AZ662"/>
      <c r="BA662"/>
      <c r="BB662"/>
      <c r="BC662"/>
      <c r="BD662"/>
      <c r="BE662"/>
      <c r="BF662"/>
      <c r="BG662"/>
      <c r="BH662"/>
      <c r="BI662"/>
      <c r="BJ662"/>
      <c r="BK662"/>
      <c r="BL662"/>
      <c r="BM662"/>
      <c r="BN662"/>
      <c r="BO662"/>
      <c r="BP662"/>
      <c r="BQ662"/>
      <c r="BR662"/>
      <c r="BS662"/>
      <c r="BT662"/>
      <c r="BU662"/>
      <c r="BV662"/>
      <c r="BW662"/>
      <c r="BX662"/>
      <c r="BY662"/>
      <c r="BZ662"/>
    </row>
    <row r="663" spans="4:78" x14ac:dyDescent="0.25">
      <c r="D663"/>
      <c r="E663"/>
      <c r="F663"/>
      <c r="G663"/>
      <c r="H663"/>
      <c r="I663"/>
      <c r="J663"/>
      <c r="K663"/>
      <c r="L663"/>
      <c r="M663"/>
      <c r="N663"/>
      <c r="O663"/>
      <c r="P663"/>
      <c r="Q663"/>
      <c r="R663"/>
      <c r="S663"/>
      <c r="T663"/>
      <c r="U663"/>
      <c r="V663"/>
      <c r="W663"/>
      <c r="X663"/>
      <c r="Y663"/>
      <c r="Z663"/>
      <c r="AA663"/>
      <c r="AB663"/>
      <c r="AC663"/>
      <c r="AD663"/>
      <c r="AE663"/>
      <c r="AF663"/>
      <c r="AG663"/>
      <c r="AH663"/>
      <c r="AI663"/>
      <c r="AJ663"/>
      <c r="AK663"/>
      <c r="AL663"/>
      <c r="AM663"/>
      <c r="AN663"/>
      <c r="AO663"/>
      <c r="AP663"/>
      <c r="AQ663"/>
      <c r="AR663"/>
      <c r="AS663"/>
      <c r="AT663"/>
      <c r="AU663"/>
      <c r="AV663"/>
      <c r="AW663"/>
      <c r="AX663"/>
      <c r="AY663"/>
      <c r="AZ663"/>
      <c r="BA663"/>
      <c r="BB663"/>
      <c r="BC663"/>
      <c r="BD663"/>
      <c r="BE663"/>
      <c r="BF663"/>
      <c r="BG663"/>
      <c r="BH663"/>
      <c r="BI663"/>
      <c r="BJ663"/>
      <c r="BK663"/>
      <c r="BL663"/>
      <c r="BM663"/>
      <c r="BN663"/>
      <c r="BO663"/>
      <c r="BP663"/>
      <c r="BQ663"/>
      <c r="BR663"/>
      <c r="BS663"/>
      <c r="BT663"/>
      <c r="BU663"/>
      <c r="BV663"/>
      <c r="BW663"/>
      <c r="BX663"/>
      <c r="BY663"/>
      <c r="BZ663"/>
    </row>
    <row r="664" spans="4:78" x14ac:dyDescent="0.25">
      <c r="D664"/>
      <c r="E664"/>
      <c r="F664"/>
      <c r="G664"/>
      <c r="H664"/>
      <c r="I664"/>
      <c r="J664"/>
      <c r="K664"/>
      <c r="L664"/>
      <c r="M664"/>
      <c r="N664"/>
      <c r="O664"/>
      <c r="P664"/>
      <c r="Q664"/>
      <c r="R664"/>
      <c r="S664"/>
      <c r="T664"/>
      <c r="U664"/>
      <c r="V664"/>
      <c r="W664"/>
      <c r="X664"/>
      <c r="Y664"/>
      <c r="Z664"/>
      <c r="AA664"/>
      <c r="AB664"/>
      <c r="AC664"/>
      <c r="AD664"/>
      <c r="AE664"/>
      <c r="AF664"/>
      <c r="AG664"/>
      <c r="AH664"/>
      <c r="AI664"/>
      <c r="AJ664"/>
      <c r="AK664"/>
      <c r="AL664"/>
      <c r="AM664"/>
      <c r="AN664"/>
      <c r="AO664"/>
      <c r="AP664"/>
      <c r="AQ664"/>
      <c r="AR664"/>
      <c r="AS664"/>
      <c r="AT664"/>
      <c r="AU664"/>
      <c r="AV664"/>
      <c r="AW664"/>
      <c r="AX664"/>
      <c r="AY664"/>
      <c r="AZ664"/>
      <c r="BA664"/>
      <c r="BB664"/>
      <c r="BC664"/>
      <c r="BD664"/>
      <c r="BE664"/>
      <c r="BF664"/>
      <c r="BG664"/>
      <c r="BH664"/>
      <c r="BI664"/>
      <c r="BJ664"/>
      <c r="BK664"/>
      <c r="BL664"/>
      <c r="BM664"/>
      <c r="BN664"/>
      <c r="BO664"/>
      <c r="BP664"/>
      <c r="BQ664"/>
      <c r="BR664"/>
      <c r="BS664"/>
      <c r="BT664"/>
      <c r="BU664"/>
      <c r="BV664"/>
      <c r="BW664"/>
      <c r="BX664"/>
      <c r="BY664"/>
      <c r="BZ664"/>
    </row>
    <row r="665" spans="4:78" x14ac:dyDescent="0.25">
      <c r="D665"/>
      <c r="E665"/>
      <c r="F665"/>
      <c r="G665"/>
      <c r="H665"/>
      <c r="I665"/>
      <c r="J665"/>
      <c r="K665"/>
      <c r="L665"/>
      <c r="M665"/>
      <c r="N665"/>
      <c r="O665"/>
      <c r="P665"/>
      <c r="Q665"/>
      <c r="R665"/>
      <c r="S665"/>
      <c r="T665"/>
      <c r="U665"/>
      <c r="V665"/>
      <c r="W665"/>
      <c r="X665"/>
      <c r="Y665"/>
      <c r="Z665"/>
      <c r="AA665"/>
      <c r="AB665"/>
      <c r="AC665"/>
      <c r="AD665"/>
      <c r="AE665"/>
      <c r="AF665"/>
      <c r="AG665"/>
      <c r="AH665"/>
      <c r="AI665"/>
      <c r="AJ665"/>
      <c r="AK665"/>
      <c r="AL665"/>
      <c r="AM665"/>
      <c r="AN665"/>
      <c r="AO665"/>
      <c r="AP665"/>
      <c r="AQ665"/>
      <c r="AR665"/>
      <c r="AS665"/>
      <c r="AT665"/>
      <c r="AU665"/>
      <c r="AV665"/>
      <c r="AW665"/>
      <c r="AX665"/>
      <c r="AY665"/>
      <c r="AZ665"/>
      <c r="BA665"/>
      <c r="BB665"/>
      <c r="BC665"/>
      <c r="BD665"/>
      <c r="BE665"/>
      <c r="BF665"/>
      <c r="BG665"/>
      <c r="BH665"/>
      <c r="BI665"/>
      <c r="BJ665"/>
      <c r="BK665"/>
      <c r="BL665"/>
      <c r="BM665"/>
      <c r="BN665"/>
      <c r="BO665"/>
      <c r="BP665"/>
      <c r="BQ665"/>
      <c r="BR665"/>
      <c r="BS665"/>
      <c r="BT665"/>
      <c r="BU665"/>
      <c r="BV665"/>
      <c r="BW665"/>
      <c r="BX665"/>
      <c r="BY665"/>
      <c r="BZ665"/>
    </row>
    <row r="666" spans="4:78" x14ac:dyDescent="0.25">
      <c r="D666"/>
      <c r="E666"/>
      <c r="F666"/>
      <c r="G666"/>
      <c r="H666"/>
      <c r="I666"/>
      <c r="J666"/>
      <c r="K666"/>
      <c r="L666"/>
      <c r="M666"/>
      <c r="N666"/>
      <c r="O666"/>
      <c r="P666"/>
      <c r="Q666"/>
      <c r="R666"/>
      <c r="S666"/>
      <c r="T666"/>
      <c r="U666"/>
      <c r="V666"/>
      <c r="W666"/>
      <c r="X666"/>
      <c r="Y666"/>
      <c r="Z666"/>
      <c r="AA666"/>
      <c r="AB666"/>
      <c r="AC666"/>
      <c r="AD666"/>
      <c r="AE666"/>
      <c r="AF666"/>
      <c r="AG666"/>
      <c r="AH666"/>
      <c r="AI666"/>
      <c r="AJ666"/>
      <c r="AK666"/>
      <c r="AL666"/>
      <c r="AM666"/>
      <c r="AN666"/>
      <c r="AO666"/>
      <c r="AP666"/>
      <c r="AQ666"/>
      <c r="AR666"/>
      <c r="AS666"/>
      <c r="AT666"/>
      <c r="AU666"/>
      <c r="AV666"/>
      <c r="AW666"/>
      <c r="AX666"/>
      <c r="AY666"/>
      <c r="AZ666"/>
      <c r="BA666"/>
      <c r="BB666"/>
      <c r="BC666"/>
      <c r="BD666"/>
      <c r="BE666"/>
      <c r="BF666"/>
      <c r="BG666"/>
      <c r="BH666"/>
      <c r="BI666"/>
      <c r="BJ666"/>
      <c r="BK666"/>
      <c r="BL666"/>
      <c r="BM666"/>
      <c r="BN666"/>
      <c r="BO666"/>
      <c r="BP666"/>
      <c r="BQ666"/>
      <c r="BR666"/>
      <c r="BS666"/>
      <c r="BT666"/>
      <c r="BU666"/>
      <c r="BV666"/>
      <c r="BW666"/>
      <c r="BX666"/>
      <c r="BY666"/>
      <c r="BZ666"/>
    </row>
    <row r="667" spans="4:78" x14ac:dyDescent="0.25">
      <c r="D667"/>
      <c r="E667"/>
      <c r="F667"/>
      <c r="G667"/>
      <c r="H667"/>
      <c r="I667"/>
      <c r="J667"/>
      <c r="K667"/>
      <c r="L667"/>
      <c r="M667"/>
      <c r="N667"/>
      <c r="O667"/>
      <c r="P667"/>
      <c r="Q667"/>
      <c r="R667"/>
      <c r="S667"/>
      <c r="T667"/>
      <c r="U667"/>
      <c r="V667"/>
      <c r="W667"/>
      <c r="X667"/>
      <c r="Y667"/>
      <c r="Z667"/>
      <c r="AA667"/>
      <c r="AB667"/>
      <c r="AC667"/>
      <c r="AD667"/>
      <c r="AE667"/>
      <c r="AF667"/>
      <c r="AG667"/>
      <c r="AH667"/>
      <c r="AI667"/>
      <c r="AJ667"/>
      <c r="AK667"/>
      <c r="AL667"/>
      <c r="AM667"/>
      <c r="AN667"/>
      <c r="AO667"/>
      <c r="AP667"/>
      <c r="AQ667"/>
      <c r="AR667"/>
      <c r="AS667"/>
      <c r="AT667"/>
      <c r="AU667"/>
      <c r="AV667"/>
      <c r="AW667"/>
      <c r="AX667"/>
      <c r="AY667"/>
      <c r="AZ667"/>
      <c r="BA667"/>
      <c r="BB667"/>
      <c r="BC667"/>
      <c r="BD667"/>
      <c r="BE667"/>
      <c r="BF667"/>
      <c r="BG667"/>
      <c r="BH667"/>
      <c r="BI667"/>
      <c r="BJ667"/>
      <c r="BK667"/>
      <c r="BL667"/>
      <c r="BM667"/>
      <c r="BN667"/>
      <c r="BO667"/>
      <c r="BP667"/>
      <c r="BQ667"/>
      <c r="BR667"/>
      <c r="BS667"/>
      <c r="BT667"/>
      <c r="BU667"/>
      <c r="BV667"/>
      <c r="BW667"/>
      <c r="BX667"/>
      <c r="BY667"/>
      <c r="BZ667"/>
    </row>
    <row r="668" spans="4:78" x14ac:dyDescent="0.25">
      <c r="D668"/>
      <c r="E668"/>
      <c r="F668"/>
      <c r="G668"/>
      <c r="H668"/>
      <c r="I668"/>
      <c r="J668"/>
      <c r="K668"/>
      <c r="L668"/>
      <c r="M668"/>
      <c r="N668"/>
      <c r="O668"/>
      <c r="P668"/>
      <c r="Q668"/>
      <c r="R668"/>
      <c r="S668"/>
      <c r="T668"/>
      <c r="U668"/>
      <c r="V668"/>
      <c r="W668"/>
      <c r="X668"/>
      <c r="Y668"/>
      <c r="Z668"/>
      <c r="AA668"/>
      <c r="AB668"/>
      <c r="AC668"/>
      <c r="AD668"/>
      <c r="AE668"/>
      <c r="AF668"/>
      <c r="AG668"/>
      <c r="AH668"/>
      <c r="AI668"/>
      <c r="AJ668"/>
      <c r="AK668"/>
      <c r="AL668"/>
      <c r="AM668"/>
      <c r="AN668"/>
      <c r="AO668"/>
      <c r="AP668"/>
      <c r="AQ668"/>
      <c r="AR668"/>
      <c r="AS668"/>
      <c r="AT668"/>
      <c r="AU668"/>
      <c r="AV668"/>
      <c r="AW668"/>
      <c r="AX668"/>
      <c r="AY668"/>
      <c r="AZ668"/>
      <c r="BA668"/>
      <c r="BB668"/>
      <c r="BC668"/>
      <c r="BD668"/>
      <c r="BE668"/>
      <c r="BF668"/>
      <c r="BG668"/>
      <c r="BH668"/>
      <c r="BI668"/>
      <c r="BJ668"/>
      <c r="BK668"/>
      <c r="BL668"/>
      <c r="BM668"/>
      <c r="BN668"/>
      <c r="BO668"/>
      <c r="BP668"/>
      <c r="BQ668"/>
      <c r="BR668"/>
      <c r="BS668"/>
      <c r="BT668"/>
      <c r="BU668"/>
      <c r="BV668"/>
      <c r="BW668"/>
      <c r="BX668"/>
      <c r="BY668"/>
      <c r="BZ668"/>
    </row>
    <row r="669" spans="4:78" x14ac:dyDescent="0.25">
      <c r="D669"/>
      <c r="E669"/>
      <c r="F669"/>
      <c r="G669"/>
      <c r="H669"/>
      <c r="I669"/>
      <c r="J669"/>
      <c r="K669"/>
      <c r="L669"/>
      <c r="M669"/>
      <c r="N669"/>
      <c r="O669"/>
      <c r="P669"/>
      <c r="Q669"/>
      <c r="R669"/>
      <c r="S669"/>
      <c r="T669"/>
      <c r="U669"/>
      <c r="V669"/>
      <c r="W669"/>
      <c r="X669"/>
      <c r="Y669"/>
      <c r="Z669"/>
      <c r="AA669"/>
      <c r="AB669"/>
      <c r="AC669"/>
      <c r="AD669"/>
      <c r="AE669"/>
      <c r="AF669"/>
      <c r="AG669"/>
      <c r="AH669"/>
      <c r="AI669"/>
      <c r="AJ669"/>
      <c r="AK669"/>
      <c r="AL669"/>
      <c r="AM669"/>
      <c r="AN669"/>
      <c r="AO669"/>
      <c r="AP669"/>
      <c r="AQ669"/>
      <c r="AR669"/>
      <c r="AS669"/>
      <c r="AT669"/>
      <c r="AU669"/>
      <c r="AV669"/>
      <c r="AW669"/>
      <c r="AX669"/>
      <c r="AY669"/>
      <c r="AZ669"/>
      <c r="BA669"/>
      <c r="BB669"/>
      <c r="BC669"/>
      <c r="BD669"/>
      <c r="BE669"/>
      <c r="BF669"/>
      <c r="BG669"/>
      <c r="BH669"/>
      <c r="BI669"/>
      <c r="BJ669"/>
      <c r="BK669"/>
      <c r="BL669"/>
      <c r="BM669"/>
      <c r="BN669"/>
      <c r="BO669"/>
      <c r="BP669"/>
      <c r="BQ669"/>
      <c r="BR669"/>
      <c r="BS669"/>
      <c r="BT669"/>
      <c r="BU669"/>
      <c r="BV669"/>
      <c r="BW669"/>
      <c r="BX669"/>
      <c r="BY669"/>
      <c r="BZ669"/>
    </row>
    <row r="670" spans="4:78" x14ac:dyDescent="0.25">
      <c r="D670"/>
      <c r="E670"/>
      <c r="F670"/>
      <c r="G670"/>
      <c r="H670"/>
      <c r="I670"/>
      <c r="J670"/>
      <c r="K670"/>
      <c r="L670"/>
      <c r="M670"/>
      <c r="N670"/>
      <c r="O670"/>
      <c r="P670"/>
      <c r="Q670"/>
      <c r="R670"/>
      <c r="S670"/>
      <c r="T670"/>
      <c r="U670"/>
      <c r="V670"/>
      <c r="W670"/>
      <c r="X670"/>
      <c r="Y670"/>
      <c r="Z670"/>
      <c r="AA670"/>
      <c r="AB670"/>
      <c r="AC670"/>
      <c r="AD670"/>
      <c r="AE670"/>
      <c r="AF670"/>
      <c r="AG670"/>
      <c r="AH670"/>
      <c r="AI670"/>
      <c r="AJ670"/>
      <c r="AK670"/>
      <c r="AL670"/>
      <c r="AM670"/>
      <c r="AN670"/>
      <c r="AO670"/>
      <c r="AP670"/>
      <c r="AQ670"/>
      <c r="AR670"/>
      <c r="AS670"/>
      <c r="AT670"/>
      <c r="AU670"/>
      <c r="AV670"/>
      <c r="AW670"/>
      <c r="AX670"/>
      <c r="AY670"/>
      <c r="AZ670"/>
      <c r="BA670"/>
      <c r="BB670"/>
      <c r="BC670"/>
      <c r="BD670"/>
      <c r="BE670"/>
      <c r="BF670"/>
      <c r="BG670"/>
      <c r="BH670"/>
      <c r="BI670"/>
      <c r="BJ670"/>
      <c r="BK670"/>
      <c r="BL670"/>
      <c r="BM670"/>
      <c r="BN670"/>
      <c r="BO670"/>
      <c r="BP670"/>
      <c r="BQ670"/>
      <c r="BR670"/>
      <c r="BS670"/>
      <c r="BT670"/>
      <c r="BU670"/>
      <c r="BV670"/>
      <c r="BW670"/>
      <c r="BX670"/>
      <c r="BY670"/>
      <c r="BZ670"/>
    </row>
    <row r="671" spans="4:78" x14ac:dyDescent="0.25">
      <c r="D671"/>
      <c r="E671"/>
      <c r="F671"/>
      <c r="G671"/>
      <c r="H671"/>
      <c r="I671"/>
      <c r="J671"/>
      <c r="K671"/>
      <c r="L671"/>
      <c r="M671"/>
      <c r="N671"/>
      <c r="O671"/>
      <c r="P671"/>
      <c r="Q671"/>
      <c r="R671"/>
      <c r="S671"/>
      <c r="T671"/>
      <c r="U671"/>
      <c r="V671"/>
      <c r="W671"/>
      <c r="X671"/>
      <c r="Y671"/>
      <c r="Z671"/>
      <c r="AA671"/>
      <c r="AB671"/>
      <c r="AC671"/>
      <c r="AD671"/>
      <c r="AE671"/>
      <c r="AF671"/>
      <c r="AG671"/>
      <c r="AH671"/>
      <c r="AI671"/>
      <c r="AJ671"/>
      <c r="AK671"/>
      <c r="AL671"/>
      <c r="AM671"/>
      <c r="AN671"/>
      <c r="AO671"/>
      <c r="AP671"/>
      <c r="AQ671"/>
      <c r="AR671"/>
      <c r="AS671"/>
      <c r="AT671"/>
      <c r="AU671"/>
      <c r="AV671"/>
      <c r="AW671"/>
      <c r="AX671"/>
      <c r="AY671"/>
      <c r="AZ671"/>
      <c r="BA671"/>
      <c r="BB671"/>
      <c r="BC671"/>
      <c r="BD671"/>
      <c r="BE671"/>
      <c r="BF671"/>
      <c r="BG671"/>
      <c r="BH671"/>
      <c r="BI671"/>
      <c r="BJ671"/>
      <c r="BK671"/>
      <c r="BL671"/>
      <c r="BM671"/>
      <c r="BN671"/>
      <c r="BO671"/>
      <c r="BP671"/>
      <c r="BQ671"/>
      <c r="BR671"/>
      <c r="BS671"/>
      <c r="BT671"/>
      <c r="BU671"/>
      <c r="BV671"/>
      <c r="BW671"/>
      <c r="BX671"/>
      <c r="BY671"/>
      <c r="BZ671"/>
    </row>
    <row r="672" spans="4:78" x14ac:dyDescent="0.25">
      <c r="D672"/>
      <c r="E672"/>
      <c r="F672"/>
      <c r="G672"/>
      <c r="H672"/>
      <c r="I672"/>
      <c r="J672"/>
      <c r="K672"/>
      <c r="L672"/>
      <c r="M672"/>
      <c r="N672"/>
      <c r="O672"/>
      <c r="P672"/>
      <c r="Q672"/>
      <c r="R672"/>
      <c r="S672"/>
      <c r="T672"/>
      <c r="U672"/>
      <c r="V672"/>
      <c r="W672"/>
      <c r="X672"/>
      <c r="Y672"/>
      <c r="Z672"/>
      <c r="AA672"/>
      <c r="AB672"/>
      <c r="AC672"/>
      <c r="AD672"/>
      <c r="AE672"/>
      <c r="AF672"/>
      <c r="AG672"/>
      <c r="AH672"/>
      <c r="AI672"/>
      <c r="AJ672"/>
      <c r="AK672"/>
      <c r="AL672"/>
      <c r="AM672"/>
      <c r="AN672"/>
      <c r="AO672"/>
      <c r="AP672"/>
      <c r="AQ672"/>
      <c r="AR672"/>
      <c r="AS672"/>
      <c r="AT672"/>
      <c r="AU672"/>
      <c r="AV672"/>
      <c r="AW672"/>
      <c r="AX672"/>
      <c r="AY672"/>
      <c r="AZ672"/>
      <c r="BA672"/>
      <c r="BB672"/>
      <c r="BC672"/>
      <c r="BD672"/>
      <c r="BE672"/>
      <c r="BF672"/>
      <c r="BG672"/>
      <c r="BH672"/>
      <c r="BI672"/>
      <c r="BJ672"/>
      <c r="BK672"/>
      <c r="BL672"/>
      <c r="BM672"/>
      <c r="BN672"/>
      <c r="BO672"/>
      <c r="BP672"/>
      <c r="BQ672"/>
      <c r="BR672"/>
      <c r="BS672"/>
      <c r="BT672"/>
      <c r="BU672"/>
      <c r="BV672"/>
      <c r="BW672"/>
      <c r="BX672"/>
      <c r="BY672"/>
      <c r="BZ672"/>
    </row>
    <row r="673" spans="4:78" x14ac:dyDescent="0.25">
      <c r="D673"/>
      <c r="E673"/>
      <c r="F673"/>
      <c r="G673"/>
      <c r="H673"/>
      <c r="I673"/>
      <c r="J673"/>
      <c r="K673"/>
      <c r="L673"/>
      <c r="M673"/>
      <c r="N673"/>
      <c r="O673"/>
      <c r="P673"/>
      <c r="Q673"/>
      <c r="R673"/>
      <c r="S673"/>
      <c r="T673"/>
      <c r="U673"/>
      <c r="V673"/>
      <c r="W673"/>
      <c r="X673"/>
      <c r="Y673"/>
      <c r="Z673"/>
      <c r="AA673"/>
      <c r="AB673"/>
      <c r="AC673"/>
      <c r="AD673"/>
      <c r="AE673"/>
      <c r="AF673"/>
      <c r="AG673"/>
      <c r="AH673"/>
      <c r="AI673"/>
      <c r="AJ673"/>
      <c r="AK673"/>
      <c r="AL673"/>
      <c r="AM673"/>
      <c r="AN673"/>
      <c r="AO673"/>
      <c r="AP673"/>
      <c r="AQ673"/>
      <c r="AR673"/>
      <c r="AS673"/>
      <c r="AT673"/>
      <c r="AU673"/>
      <c r="AV673"/>
      <c r="AW673"/>
      <c r="AX673"/>
      <c r="AY673"/>
      <c r="AZ673"/>
      <c r="BA673"/>
      <c r="BB673"/>
      <c r="BC673"/>
      <c r="BD673"/>
      <c r="BE673"/>
      <c r="BF673"/>
      <c r="BG673"/>
      <c r="BH673"/>
      <c r="BI673"/>
      <c r="BJ673"/>
      <c r="BK673"/>
      <c r="BL673"/>
      <c r="BM673"/>
      <c r="BN673"/>
      <c r="BO673"/>
      <c r="BP673"/>
      <c r="BQ673"/>
      <c r="BR673"/>
      <c r="BS673"/>
      <c r="BT673"/>
      <c r="BU673"/>
      <c r="BV673"/>
      <c r="BW673"/>
      <c r="BX673"/>
      <c r="BY673"/>
      <c r="BZ673"/>
    </row>
    <row r="674" spans="4:78" x14ac:dyDescent="0.25">
      <c r="D674"/>
      <c r="E674"/>
      <c r="F674"/>
      <c r="G674"/>
      <c r="H674"/>
      <c r="I674"/>
      <c r="J674"/>
      <c r="K674"/>
      <c r="L674"/>
      <c r="M674"/>
      <c r="N674"/>
      <c r="O674"/>
      <c r="P674"/>
      <c r="Q674"/>
      <c r="R674"/>
      <c r="S674"/>
      <c r="T674"/>
      <c r="U674"/>
      <c r="V674"/>
      <c r="W674"/>
      <c r="X674"/>
      <c r="Y674"/>
      <c r="Z674"/>
      <c r="AA674"/>
      <c r="AB674"/>
      <c r="AC674"/>
      <c r="AD674"/>
      <c r="AE674"/>
      <c r="AF674"/>
      <c r="AG674"/>
      <c r="AH674"/>
      <c r="AI674"/>
      <c r="AJ674"/>
      <c r="AK674"/>
      <c r="AL674"/>
      <c r="AM674"/>
      <c r="AN674"/>
      <c r="AO674"/>
      <c r="AP674"/>
      <c r="AQ674"/>
      <c r="AR674"/>
      <c r="AS674"/>
      <c r="AT674"/>
      <c r="AU674"/>
      <c r="AV674"/>
      <c r="AW674"/>
      <c r="AX674"/>
      <c r="AY674"/>
      <c r="AZ674"/>
      <c r="BA674"/>
      <c r="BB674"/>
      <c r="BC674"/>
      <c r="BD674"/>
      <c r="BE674"/>
      <c r="BF674"/>
      <c r="BG674"/>
      <c r="BH674"/>
      <c r="BI674"/>
      <c r="BJ674"/>
      <c r="BK674"/>
      <c r="BL674"/>
      <c r="BM674"/>
      <c r="BN674"/>
      <c r="BO674"/>
      <c r="BP674"/>
      <c r="BQ674"/>
      <c r="BR674"/>
      <c r="BS674"/>
      <c r="BT674"/>
      <c r="BU674"/>
      <c r="BV674"/>
      <c r="BW674"/>
      <c r="BX674"/>
      <c r="BY674"/>
      <c r="BZ674"/>
    </row>
    <row r="675" spans="4:78" x14ac:dyDescent="0.25">
      <c r="D675"/>
      <c r="E675"/>
      <c r="F675"/>
      <c r="G675"/>
      <c r="H675"/>
      <c r="I675"/>
      <c r="J675"/>
      <c r="K675"/>
      <c r="L675"/>
      <c r="M675"/>
      <c r="N675"/>
      <c r="O675"/>
      <c r="P675"/>
      <c r="Q675"/>
      <c r="R675"/>
      <c r="S675"/>
      <c r="T675"/>
      <c r="U675"/>
      <c r="V675"/>
      <c r="W675"/>
      <c r="X675"/>
      <c r="Y675"/>
      <c r="Z675"/>
      <c r="AA675"/>
      <c r="AB675"/>
      <c r="AC675"/>
      <c r="AD675"/>
      <c r="AE675"/>
      <c r="AF675"/>
      <c r="AG675"/>
      <c r="AH675"/>
      <c r="AI675"/>
      <c r="AJ675"/>
      <c r="AK675"/>
      <c r="AL675"/>
      <c r="AM675"/>
      <c r="AN675"/>
      <c r="AO675"/>
      <c r="AP675"/>
      <c r="AQ675"/>
      <c r="AR675"/>
      <c r="AS675"/>
      <c r="AT675"/>
      <c r="AU675"/>
      <c r="AV675"/>
      <c r="AW675"/>
      <c r="AX675"/>
      <c r="AY675"/>
      <c r="AZ675"/>
      <c r="BA675"/>
      <c r="BB675"/>
      <c r="BC675"/>
      <c r="BD675"/>
      <c r="BE675"/>
      <c r="BF675"/>
      <c r="BG675"/>
      <c r="BH675"/>
      <c r="BI675"/>
      <c r="BJ675"/>
      <c r="BK675"/>
      <c r="BL675"/>
      <c r="BM675"/>
      <c r="BN675"/>
      <c r="BO675"/>
      <c r="BP675"/>
      <c r="BQ675"/>
      <c r="BR675"/>
      <c r="BS675"/>
      <c r="BT675"/>
      <c r="BU675"/>
      <c r="BV675"/>
      <c r="BW675"/>
      <c r="BX675"/>
      <c r="BY675"/>
      <c r="BZ675"/>
    </row>
    <row r="676" spans="4:78" x14ac:dyDescent="0.25">
      <c r="D676"/>
      <c r="E676"/>
      <c r="F676"/>
      <c r="G676"/>
      <c r="H676"/>
      <c r="I676"/>
      <c r="J676"/>
      <c r="K676"/>
      <c r="L676"/>
      <c r="M676"/>
      <c r="N676"/>
      <c r="O676"/>
      <c r="P676"/>
      <c r="Q676"/>
      <c r="R676"/>
      <c r="S676"/>
      <c r="T676"/>
      <c r="U676"/>
      <c r="V676"/>
      <c r="W676"/>
      <c r="X676"/>
      <c r="Y676"/>
      <c r="Z676"/>
      <c r="AA676"/>
      <c r="AB676"/>
      <c r="AC676"/>
      <c r="AD676"/>
      <c r="AE676"/>
      <c r="AF676"/>
      <c r="AG676"/>
      <c r="AH676"/>
      <c r="AI676"/>
      <c r="AJ676"/>
      <c r="AK676"/>
      <c r="AL676"/>
      <c r="AM676"/>
      <c r="AN676"/>
      <c r="AO676"/>
      <c r="AP676"/>
      <c r="AQ676"/>
      <c r="AR676"/>
      <c r="AS676"/>
      <c r="AT676"/>
      <c r="AU676"/>
      <c r="AV676"/>
      <c r="AW676"/>
      <c r="AX676"/>
      <c r="AY676"/>
      <c r="AZ676"/>
      <c r="BA676"/>
      <c r="BB676"/>
      <c r="BC676"/>
      <c r="BD676"/>
      <c r="BE676"/>
      <c r="BF676"/>
      <c r="BG676"/>
      <c r="BH676"/>
      <c r="BI676"/>
      <c r="BJ676"/>
      <c r="BK676"/>
      <c r="BL676"/>
      <c r="BM676"/>
      <c r="BN676"/>
      <c r="BO676"/>
      <c r="BP676"/>
      <c r="BQ676"/>
      <c r="BR676"/>
      <c r="BS676"/>
      <c r="BT676"/>
      <c r="BU676"/>
      <c r="BV676"/>
      <c r="BW676"/>
      <c r="BX676"/>
      <c r="BY676"/>
      <c r="BZ676"/>
    </row>
    <row r="677" spans="4:78" x14ac:dyDescent="0.25">
      <c r="D677"/>
      <c r="E677"/>
      <c r="F677"/>
      <c r="G677"/>
      <c r="H677"/>
      <c r="I677"/>
      <c r="J677"/>
      <c r="K677"/>
      <c r="L677"/>
      <c r="M677"/>
      <c r="N677"/>
      <c r="O677"/>
      <c r="P677"/>
      <c r="Q677"/>
      <c r="R677"/>
      <c r="S677"/>
      <c r="T677"/>
      <c r="U677"/>
      <c r="V677"/>
      <c r="W677"/>
      <c r="X677"/>
      <c r="Y677"/>
      <c r="Z677"/>
      <c r="AA677"/>
      <c r="AB677"/>
      <c r="AC677"/>
      <c r="AD677"/>
      <c r="AE677"/>
      <c r="AF677"/>
      <c r="AG677"/>
      <c r="AH677"/>
      <c r="AI677"/>
      <c r="AJ677"/>
      <c r="AK677"/>
      <c r="AL677"/>
      <c r="AM677"/>
      <c r="AN677"/>
      <c r="AO677"/>
      <c r="AP677"/>
      <c r="AQ677"/>
      <c r="AR677"/>
      <c r="AS677"/>
      <c r="AT677"/>
      <c r="AU677"/>
      <c r="AV677"/>
      <c r="AW677"/>
      <c r="AX677"/>
      <c r="AY677"/>
      <c r="AZ677"/>
      <c r="BA677"/>
      <c r="BB677"/>
      <c r="BC677"/>
      <c r="BD677"/>
      <c r="BE677"/>
      <c r="BF677"/>
      <c r="BG677"/>
      <c r="BH677"/>
      <c r="BI677"/>
      <c r="BJ677"/>
      <c r="BK677"/>
      <c r="BL677"/>
      <c r="BM677"/>
      <c r="BN677"/>
      <c r="BO677"/>
      <c r="BP677"/>
      <c r="BQ677"/>
      <c r="BR677"/>
      <c r="BS677"/>
      <c r="BT677"/>
      <c r="BU677"/>
      <c r="BV677"/>
      <c r="BW677"/>
      <c r="BX677"/>
      <c r="BY677"/>
      <c r="BZ677"/>
    </row>
    <row r="678" spans="4:78" x14ac:dyDescent="0.25">
      <c r="D678"/>
      <c r="E678"/>
      <c r="F678"/>
      <c r="G678"/>
      <c r="H678"/>
      <c r="I678"/>
      <c r="J678"/>
      <c r="K678"/>
      <c r="L678"/>
      <c r="M678"/>
      <c r="N678"/>
      <c r="O678"/>
      <c r="P678"/>
      <c r="Q678"/>
      <c r="R678"/>
      <c r="S678"/>
      <c r="T678"/>
      <c r="U678"/>
      <c r="V678"/>
      <c r="W678"/>
      <c r="X678"/>
      <c r="Y678"/>
      <c r="Z678"/>
      <c r="AA678"/>
      <c r="AB678"/>
      <c r="AC678"/>
      <c r="AD678"/>
      <c r="AE678"/>
      <c r="AF678"/>
      <c r="AG678"/>
      <c r="AH678"/>
      <c r="AI678"/>
      <c r="AJ678"/>
      <c r="AK678"/>
      <c r="AL678"/>
      <c r="AM678"/>
      <c r="AN678"/>
      <c r="AO678"/>
      <c r="AP678"/>
      <c r="AQ678"/>
      <c r="AR678"/>
      <c r="AS678"/>
      <c r="AT678"/>
      <c r="AU678"/>
      <c r="AV678"/>
      <c r="AW678"/>
      <c r="AX678"/>
      <c r="AY678"/>
      <c r="AZ678"/>
      <c r="BA678"/>
      <c r="BB678"/>
      <c r="BC678"/>
      <c r="BD678"/>
      <c r="BE678"/>
      <c r="BF678"/>
      <c r="BG678"/>
      <c r="BH678"/>
      <c r="BI678"/>
      <c r="BJ678"/>
      <c r="BK678"/>
      <c r="BL678"/>
      <c r="BM678"/>
      <c r="BN678"/>
      <c r="BO678"/>
      <c r="BP678"/>
      <c r="BQ678"/>
      <c r="BR678"/>
      <c r="BS678"/>
      <c r="BT678"/>
      <c r="BU678"/>
      <c r="BV678"/>
      <c r="BW678"/>
      <c r="BX678"/>
      <c r="BY678"/>
      <c r="BZ678"/>
    </row>
    <row r="679" spans="4:78" x14ac:dyDescent="0.25">
      <c r="D679"/>
      <c r="E679"/>
      <c r="F679"/>
      <c r="G679"/>
      <c r="H679"/>
      <c r="I679"/>
      <c r="J679"/>
      <c r="K679"/>
      <c r="L679"/>
      <c r="M679"/>
      <c r="N679"/>
      <c r="O679"/>
      <c r="P679"/>
      <c r="Q679"/>
      <c r="R679"/>
      <c r="S679"/>
      <c r="T679"/>
      <c r="U679"/>
      <c r="V679"/>
      <c r="W679"/>
      <c r="X679"/>
      <c r="Y679"/>
      <c r="Z679"/>
      <c r="AA679"/>
      <c r="AB679"/>
      <c r="AC679"/>
      <c r="AD679"/>
      <c r="AE679"/>
      <c r="AF679"/>
      <c r="AG679"/>
      <c r="AH679"/>
      <c r="AI679"/>
      <c r="AJ679"/>
      <c r="AK679"/>
      <c r="AL679"/>
      <c r="AM679"/>
      <c r="AN679"/>
      <c r="AO679"/>
      <c r="AP679"/>
      <c r="AQ679"/>
      <c r="AR679"/>
      <c r="AS679"/>
      <c r="AT679"/>
      <c r="AU679"/>
      <c r="AV679"/>
      <c r="AW679"/>
      <c r="AX679"/>
      <c r="AY679"/>
      <c r="AZ679"/>
      <c r="BA679"/>
      <c r="BB679"/>
      <c r="BC679"/>
      <c r="BD679"/>
      <c r="BE679"/>
      <c r="BF679"/>
      <c r="BG679"/>
      <c r="BH679"/>
      <c r="BI679"/>
      <c r="BJ679"/>
      <c r="BK679"/>
      <c r="BL679"/>
      <c r="BM679"/>
      <c r="BN679"/>
      <c r="BO679"/>
      <c r="BP679"/>
      <c r="BQ679"/>
      <c r="BR679"/>
      <c r="BS679"/>
      <c r="BT679"/>
      <c r="BU679"/>
      <c r="BV679"/>
      <c r="BW679"/>
      <c r="BX679"/>
      <c r="BY679"/>
      <c r="BZ679"/>
    </row>
    <row r="680" spans="4:78" x14ac:dyDescent="0.25">
      <c r="D680"/>
      <c r="E680"/>
      <c r="F680"/>
      <c r="G680"/>
      <c r="H680"/>
      <c r="I680"/>
      <c r="J680"/>
      <c r="K680"/>
      <c r="L680"/>
      <c r="M680"/>
      <c r="N680"/>
      <c r="O680"/>
      <c r="P680"/>
      <c r="Q680"/>
      <c r="R680"/>
      <c r="S680"/>
      <c r="T680"/>
      <c r="U680"/>
      <c r="V680"/>
      <c r="W680"/>
      <c r="X680"/>
      <c r="Y680"/>
      <c r="Z680"/>
      <c r="AA680"/>
      <c r="AB680"/>
      <c r="AC680"/>
      <c r="AD680"/>
      <c r="AE680"/>
      <c r="AF680"/>
      <c r="AG680"/>
      <c r="AH680"/>
      <c r="AI680"/>
      <c r="AJ680"/>
      <c r="AK680"/>
      <c r="AL680"/>
      <c r="AM680"/>
      <c r="AN680"/>
      <c r="AO680"/>
      <c r="AP680"/>
      <c r="AQ680"/>
      <c r="AR680"/>
      <c r="AS680"/>
      <c r="AT680"/>
      <c r="AU680"/>
      <c r="AV680"/>
      <c r="AW680"/>
      <c r="AX680"/>
      <c r="AY680"/>
      <c r="AZ680"/>
      <c r="BA680"/>
      <c r="BB680"/>
      <c r="BC680"/>
      <c r="BD680"/>
      <c r="BE680"/>
      <c r="BF680"/>
      <c r="BG680"/>
      <c r="BH680"/>
      <c r="BI680"/>
      <c r="BJ680"/>
      <c r="BK680"/>
      <c r="BL680"/>
      <c r="BM680"/>
      <c r="BN680"/>
      <c r="BO680"/>
      <c r="BP680"/>
      <c r="BQ680"/>
      <c r="BR680"/>
      <c r="BS680"/>
      <c r="BT680"/>
      <c r="BU680"/>
      <c r="BV680"/>
      <c r="BW680"/>
      <c r="BX680"/>
      <c r="BY680"/>
      <c r="BZ680"/>
    </row>
    <row r="681" spans="4:78" x14ac:dyDescent="0.25">
      <c r="D681"/>
      <c r="E681"/>
      <c r="F681"/>
      <c r="G681"/>
      <c r="H681"/>
      <c r="I681"/>
      <c r="J681"/>
      <c r="K681"/>
      <c r="L681"/>
      <c r="M681"/>
      <c r="N681"/>
      <c r="O681"/>
      <c r="P681"/>
      <c r="Q681"/>
      <c r="R681"/>
      <c r="S681"/>
      <c r="T681"/>
      <c r="U681"/>
      <c r="V681"/>
      <c r="W681"/>
      <c r="X681"/>
      <c r="Y681"/>
      <c r="Z681"/>
      <c r="AA681"/>
      <c r="AB681"/>
      <c r="AC681"/>
      <c r="AD681"/>
      <c r="AE681"/>
      <c r="AF681"/>
      <c r="AG681"/>
      <c r="AH681"/>
      <c r="AI681"/>
      <c r="AJ681"/>
      <c r="AK681"/>
      <c r="AL681"/>
      <c r="AM681"/>
      <c r="AN681"/>
      <c r="AO681"/>
      <c r="AP681"/>
      <c r="AQ681"/>
      <c r="AR681"/>
      <c r="AS681"/>
      <c r="AT681"/>
      <c r="AU681"/>
      <c r="AV681"/>
      <c r="AW681"/>
      <c r="AX681"/>
      <c r="AY681"/>
      <c r="AZ681"/>
      <c r="BA681"/>
      <c r="BB681"/>
      <c r="BC681"/>
      <c r="BD681"/>
      <c r="BE681"/>
      <c r="BF681"/>
      <c r="BG681"/>
      <c r="BH681"/>
      <c r="BI681"/>
      <c r="BJ681"/>
      <c r="BK681"/>
      <c r="BL681"/>
      <c r="BM681"/>
      <c r="BN681"/>
      <c r="BO681"/>
      <c r="BP681"/>
      <c r="BQ681"/>
      <c r="BR681"/>
      <c r="BS681"/>
      <c r="BT681"/>
      <c r="BU681"/>
      <c r="BV681"/>
      <c r="BW681"/>
      <c r="BX681"/>
      <c r="BY681"/>
      <c r="BZ681"/>
    </row>
    <row r="682" spans="4:78" x14ac:dyDescent="0.25">
      <c r="D682"/>
      <c r="E682"/>
      <c r="F682"/>
      <c r="G682"/>
      <c r="H682"/>
      <c r="I682"/>
      <c r="J682"/>
      <c r="K682"/>
      <c r="L682"/>
      <c r="M682"/>
      <c r="N682"/>
      <c r="O682"/>
      <c r="P682"/>
      <c r="Q682"/>
      <c r="R682"/>
      <c r="S682"/>
      <c r="T682"/>
      <c r="U682"/>
      <c r="V682"/>
      <c r="W682"/>
      <c r="X682"/>
      <c r="Y682"/>
      <c r="Z682"/>
      <c r="AA682"/>
      <c r="AB682"/>
      <c r="AC682"/>
      <c r="AD682"/>
      <c r="AE682"/>
      <c r="AF682"/>
      <c r="AG682"/>
      <c r="AH682"/>
      <c r="AI682"/>
      <c r="AJ682"/>
      <c r="AK682"/>
      <c r="AL682"/>
      <c r="AM682"/>
      <c r="AN682"/>
      <c r="AO682"/>
      <c r="AP682"/>
      <c r="AQ682"/>
      <c r="AR682"/>
      <c r="AS682"/>
      <c r="AT682"/>
      <c r="AU682"/>
      <c r="AV682"/>
      <c r="AW682"/>
      <c r="AX682"/>
      <c r="AY682"/>
      <c r="AZ682"/>
      <c r="BA682"/>
      <c r="BB682"/>
      <c r="BC682"/>
      <c r="BD682"/>
      <c r="BE682"/>
      <c r="BF682"/>
      <c r="BG682"/>
      <c r="BH682"/>
      <c r="BI682"/>
      <c r="BJ682"/>
      <c r="BK682"/>
      <c r="BL682"/>
      <c r="BM682"/>
      <c r="BN682"/>
      <c r="BO682"/>
      <c r="BP682"/>
      <c r="BQ682"/>
      <c r="BR682"/>
      <c r="BS682"/>
      <c r="BT682"/>
      <c r="BU682"/>
      <c r="BV682"/>
      <c r="BW682"/>
      <c r="BX682"/>
      <c r="BY682"/>
      <c r="BZ682"/>
    </row>
    <row r="683" spans="4:78" x14ac:dyDescent="0.25">
      <c r="D683"/>
      <c r="E683"/>
      <c r="F683"/>
      <c r="G683"/>
      <c r="H683"/>
      <c r="I683"/>
      <c r="J683"/>
      <c r="K683"/>
      <c r="L683"/>
      <c r="M683"/>
      <c r="N683"/>
      <c r="O683"/>
      <c r="P683"/>
      <c r="Q683"/>
      <c r="R683"/>
      <c r="S683"/>
      <c r="T683"/>
      <c r="U683"/>
      <c r="V683"/>
      <c r="W683"/>
      <c r="X683"/>
      <c r="Y683"/>
      <c r="Z683"/>
      <c r="AA683"/>
      <c r="AB683"/>
      <c r="AC683"/>
      <c r="AD683"/>
      <c r="AE683"/>
      <c r="AF683"/>
      <c r="AG683"/>
      <c r="AH683"/>
      <c r="AI683"/>
      <c r="AJ683"/>
      <c r="AK683"/>
      <c r="AL683"/>
      <c r="AM683"/>
      <c r="AN683"/>
      <c r="AO683"/>
      <c r="AP683"/>
      <c r="AQ683"/>
      <c r="AR683"/>
      <c r="AS683"/>
      <c r="AT683"/>
      <c r="AU683"/>
      <c r="AV683"/>
      <c r="AW683"/>
      <c r="AX683"/>
      <c r="AY683"/>
      <c r="AZ683"/>
      <c r="BA683"/>
      <c r="BB683"/>
      <c r="BC683"/>
      <c r="BD683"/>
      <c r="BE683"/>
      <c r="BF683"/>
      <c r="BG683"/>
      <c r="BH683"/>
      <c r="BI683"/>
      <c r="BJ683"/>
      <c r="BK683"/>
      <c r="BL683"/>
      <c r="BM683"/>
      <c r="BN683"/>
      <c r="BO683"/>
      <c r="BP683"/>
      <c r="BQ683"/>
      <c r="BR683"/>
      <c r="BS683"/>
      <c r="BT683"/>
      <c r="BU683"/>
      <c r="BV683"/>
      <c r="BW683"/>
      <c r="BX683"/>
      <c r="BY683"/>
      <c r="BZ683"/>
    </row>
    <row r="684" spans="4:78" x14ac:dyDescent="0.25">
      <c r="D684"/>
      <c r="E684"/>
      <c r="F684"/>
      <c r="G684"/>
      <c r="H684"/>
      <c r="I684"/>
      <c r="J684"/>
      <c r="K684"/>
      <c r="L684"/>
      <c r="M684"/>
      <c r="N684"/>
      <c r="O684"/>
      <c r="P684"/>
      <c r="Q684"/>
      <c r="R684"/>
      <c r="S684"/>
      <c r="T684"/>
      <c r="U684"/>
      <c r="V684"/>
      <c r="W684"/>
      <c r="X684"/>
      <c r="Y684"/>
      <c r="Z684"/>
      <c r="AA684"/>
      <c r="AB684"/>
      <c r="AC684"/>
      <c r="AD684"/>
      <c r="AE684"/>
      <c r="AF684"/>
      <c r="AG684"/>
      <c r="AH684"/>
      <c r="AI684"/>
      <c r="AJ684"/>
      <c r="AK684"/>
      <c r="AL684"/>
      <c r="AM684"/>
      <c r="AN684"/>
      <c r="AO684"/>
      <c r="AP684"/>
      <c r="AQ684"/>
      <c r="AR684"/>
      <c r="AS684"/>
      <c r="AT684"/>
      <c r="AU684"/>
      <c r="AV684"/>
      <c r="AW684"/>
      <c r="AX684"/>
      <c r="AY684"/>
      <c r="AZ684"/>
      <c r="BA684"/>
      <c r="BB684"/>
      <c r="BC684"/>
      <c r="BD684"/>
      <c r="BE684"/>
      <c r="BF684"/>
      <c r="BG684"/>
      <c r="BH684"/>
      <c r="BI684"/>
      <c r="BJ684"/>
      <c r="BK684"/>
      <c r="BL684"/>
      <c r="BM684"/>
      <c r="BN684"/>
      <c r="BO684"/>
      <c r="BP684"/>
      <c r="BQ684"/>
      <c r="BR684"/>
      <c r="BS684"/>
      <c r="BT684"/>
      <c r="BU684"/>
      <c r="BV684"/>
      <c r="BW684"/>
      <c r="BX684"/>
      <c r="BY684"/>
      <c r="BZ684"/>
    </row>
    <row r="685" spans="4:78" x14ac:dyDescent="0.25">
      <c r="D685"/>
      <c r="E685"/>
      <c r="F685"/>
      <c r="G685"/>
      <c r="H685"/>
      <c r="I685"/>
      <c r="J685"/>
      <c r="K685"/>
      <c r="L685"/>
      <c r="M685"/>
      <c r="N685"/>
      <c r="O685"/>
      <c r="P685"/>
      <c r="Q685"/>
      <c r="R685"/>
      <c r="S685"/>
      <c r="T685"/>
      <c r="U685"/>
      <c r="V685"/>
      <c r="W685"/>
      <c r="X685"/>
      <c r="Y685"/>
      <c r="Z685"/>
      <c r="AA685"/>
      <c r="AB685"/>
      <c r="AC685"/>
      <c r="AD685"/>
      <c r="AE685"/>
      <c r="AF685"/>
      <c r="AG685"/>
      <c r="AH685"/>
      <c r="AI685"/>
      <c r="AJ685"/>
      <c r="AK685"/>
      <c r="AL685"/>
      <c r="AM685"/>
      <c r="AN685"/>
      <c r="AO685"/>
      <c r="AP685"/>
      <c r="AQ685"/>
      <c r="AR685"/>
      <c r="AS685"/>
      <c r="AT685"/>
      <c r="AU685"/>
      <c r="AV685"/>
      <c r="AW685"/>
      <c r="AX685"/>
      <c r="AY685"/>
      <c r="AZ685"/>
      <c r="BA685"/>
      <c r="BB685"/>
      <c r="BC685"/>
      <c r="BD685"/>
      <c r="BE685"/>
      <c r="BF685"/>
      <c r="BG685"/>
      <c r="BH685"/>
      <c r="BI685"/>
      <c r="BJ685"/>
      <c r="BK685"/>
      <c r="BL685"/>
      <c r="BM685"/>
      <c r="BN685"/>
      <c r="BO685"/>
      <c r="BP685"/>
      <c r="BQ685"/>
      <c r="BR685"/>
      <c r="BS685"/>
      <c r="BT685"/>
      <c r="BU685"/>
      <c r="BV685"/>
      <c r="BW685"/>
      <c r="BX685"/>
      <c r="BY685"/>
      <c r="BZ685"/>
    </row>
    <row r="686" spans="4:78" x14ac:dyDescent="0.25">
      <c r="D686"/>
      <c r="E686"/>
      <c r="F686"/>
      <c r="G686"/>
      <c r="H686"/>
      <c r="I686"/>
      <c r="J686"/>
      <c r="K686"/>
      <c r="L686"/>
      <c r="M686"/>
      <c r="N686"/>
      <c r="O686"/>
      <c r="P686"/>
      <c r="Q686"/>
      <c r="R686"/>
      <c r="S686"/>
      <c r="T686"/>
      <c r="U686"/>
      <c r="V686"/>
      <c r="W686"/>
      <c r="X686"/>
      <c r="Y686"/>
      <c r="Z686"/>
      <c r="AA686"/>
      <c r="AB686"/>
      <c r="AC686"/>
      <c r="AD686"/>
      <c r="AE686"/>
      <c r="AF686"/>
      <c r="AG686"/>
      <c r="AH686"/>
      <c r="AI686"/>
      <c r="AJ686"/>
      <c r="AK686"/>
      <c r="AL686"/>
      <c r="AM686"/>
      <c r="AN686"/>
      <c r="AO686"/>
      <c r="AP686"/>
      <c r="AQ686"/>
      <c r="AR686"/>
      <c r="AS686"/>
      <c r="AT686"/>
      <c r="AU686"/>
      <c r="AV686"/>
      <c r="AW686"/>
      <c r="AX686"/>
      <c r="AY686"/>
      <c r="AZ686"/>
      <c r="BA686"/>
      <c r="BB686"/>
      <c r="BC686"/>
      <c r="BD686"/>
      <c r="BE686"/>
      <c r="BF686"/>
      <c r="BG686"/>
      <c r="BH686"/>
      <c r="BI686"/>
      <c r="BJ686"/>
      <c r="BK686"/>
      <c r="BL686"/>
      <c r="BM686"/>
      <c r="BN686"/>
      <c r="BO686"/>
      <c r="BP686"/>
      <c r="BQ686"/>
      <c r="BR686"/>
      <c r="BS686"/>
      <c r="BT686"/>
      <c r="BU686"/>
      <c r="BV686"/>
      <c r="BW686"/>
      <c r="BX686"/>
      <c r="BY686"/>
      <c r="BZ686"/>
    </row>
    <row r="687" spans="4:78" x14ac:dyDescent="0.25">
      <c r="D687"/>
      <c r="E687"/>
      <c r="F687"/>
      <c r="G687"/>
      <c r="H687"/>
      <c r="I687"/>
      <c r="J687"/>
      <c r="K687"/>
      <c r="L687"/>
      <c r="M687"/>
      <c r="N687"/>
      <c r="O687"/>
      <c r="P687"/>
      <c r="Q687"/>
      <c r="R687"/>
      <c r="S687"/>
      <c r="T687"/>
      <c r="U687"/>
      <c r="V687"/>
      <c r="W687"/>
      <c r="X687"/>
      <c r="Y687"/>
      <c r="Z687"/>
      <c r="AA687"/>
      <c r="AB687"/>
      <c r="AC687"/>
      <c r="AD687"/>
      <c r="AE687"/>
      <c r="AF687"/>
      <c r="AG687"/>
      <c r="AH687"/>
      <c r="AI687"/>
      <c r="AJ687"/>
      <c r="AK687"/>
      <c r="AL687"/>
      <c r="AM687"/>
      <c r="AN687"/>
      <c r="AO687"/>
      <c r="AP687"/>
      <c r="AQ687"/>
      <c r="AR687"/>
      <c r="AS687"/>
      <c r="AT687"/>
      <c r="AU687"/>
      <c r="AV687"/>
      <c r="AW687"/>
      <c r="AX687"/>
      <c r="AY687"/>
      <c r="AZ687"/>
      <c r="BA687"/>
      <c r="BB687"/>
      <c r="BC687"/>
      <c r="BD687"/>
      <c r="BE687"/>
      <c r="BF687"/>
      <c r="BG687"/>
      <c r="BH687"/>
      <c r="BI687"/>
      <c r="BJ687"/>
      <c r="BK687"/>
      <c r="BL687"/>
      <c r="BM687"/>
      <c r="BN687"/>
      <c r="BO687"/>
      <c r="BP687"/>
      <c r="BQ687"/>
      <c r="BR687"/>
      <c r="BS687"/>
      <c r="BT687"/>
      <c r="BU687"/>
      <c r="BV687"/>
      <c r="BW687"/>
      <c r="BX687"/>
      <c r="BY687"/>
      <c r="BZ687"/>
    </row>
    <row r="688" spans="4:78" x14ac:dyDescent="0.25">
      <c r="D688"/>
      <c r="E688"/>
      <c r="F688"/>
      <c r="G688"/>
      <c r="H688"/>
      <c r="I688"/>
      <c r="J688"/>
      <c r="K688"/>
      <c r="L688"/>
      <c r="M688"/>
      <c r="N688"/>
      <c r="O688"/>
      <c r="P688"/>
      <c r="Q688"/>
      <c r="R688"/>
      <c r="S688"/>
      <c r="T688"/>
      <c r="U688"/>
      <c r="V688"/>
      <c r="W688"/>
      <c r="X688"/>
      <c r="Y688"/>
      <c r="Z688"/>
      <c r="AA688"/>
      <c r="AB688"/>
      <c r="AC688"/>
      <c r="AD688"/>
      <c r="AE688"/>
      <c r="AF688"/>
      <c r="AG688"/>
      <c r="AH688"/>
      <c r="AI688"/>
      <c r="AJ688"/>
      <c r="AK688"/>
      <c r="AL688"/>
      <c r="AM688"/>
      <c r="AN688"/>
      <c r="AO688"/>
      <c r="AP688"/>
      <c r="AQ688"/>
      <c r="AR688"/>
      <c r="AS688"/>
      <c r="AT688"/>
      <c r="AU688"/>
      <c r="AV688"/>
      <c r="AW688"/>
      <c r="AX688"/>
      <c r="AY688"/>
      <c r="AZ688"/>
      <c r="BA688"/>
      <c r="BB688"/>
      <c r="BC688"/>
      <c r="BD688"/>
      <c r="BE688"/>
      <c r="BF688"/>
      <c r="BG688"/>
      <c r="BH688"/>
      <c r="BI688"/>
      <c r="BJ688"/>
      <c r="BK688"/>
      <c r="BL688"/>
      <c r="BM688"/>
      <c r="BN688"/>
      <c r="BO688"/>
      <c r="BP688"/>
      <c r="BQ688"/>
      <c r="BR688"/>
      <c r="BS688"/>
      <c r="BT688"/>
      <c r="BU688"/>
      <c r="BV688"/>
      <c r="BW688"/>
      <c r="BX688"/>
      <c r="BY688"/>
      <c r="BZ688"/>
    </row>
    <row r="689" spans="4:78" x14ac:dyDescent="0.25">
      <c r="D689"/>
      <c r="E689"/>
      <c r="F689"/>
      <c r="G689"/>
      <c r="H689"/>
      <c r="I689"/>
      <c r="J689"/>
      <c r="K689"/>
      <c r="L689"/>
      <c r="M689"/>
      <c r="N689"/>
      <c r="O689"/>
      <c r="P689"/>
      <c r="Q689"/>
      <c r="R689"/>
      <c r="S689"/>
      <c r="T689"/>
      <c r="U689"/>
      <c r="V689"/>
      <c r="W689"/>
      <c r="X689"/>
      <c r="Y689"/>
      <c r="Z689"/>
      <c r="AA689"/>
      <c r="AB689"/>
      <c r="AC689"/>
      <c r="AD689"/>
      <c r="AE689"/>
      <c r="AF689"/>
      <c r="AG689"/>
      <c r="AH689"/>
      <c r="AI689"/>
      <c r="AJ689"/>
      <c r="AK689"/>
      <c r="AL689"/>
      <c r="AM689"/>
      <c r="AN689"/>
      <c r="AO689"/>
      <c r="AP689"/>
      <c r="AQ689"/>
      <c r="AR689"/>
      <c r="AS689"/>
      <c r="AT689"/>
      <c r="AU689"/>
      <c r="AV689"/>
      <c r="AW689"/>
      <c r="AX689"/>
      <c r="AY689"/>
      <c r="AZ689"/>
      <c r="BA689"/>
      <c r="BB689"/>
      <c r="BC689"/>
      <c r="BD689"/>
      <c r="BE689"/>
      <c r="BF689"/>
      <c r="BG689"/>
      <c r="BH689"/>
      <c r="BI689"/>
      <c r="BJ689"/>
      <c r="BK689"/>
      <c r="BL689"/>
      <c r="BM689"/>
      <c r="BN689"/>
      <c r="BO689"/>
      <c r="BP689"/>
      <c r="BQ689"/>
      <c r="BR689"/>
      <c r="BS689"/>
      <c r="BT689"/>
      <c r="BU689"/>
      <c r="BV689"/>
      <c r="BW689"/>
      <c r="BX689"/>
      <c r="BY689"/>
      <c r="BZ689"/>
    </row>
    <row r="690" spans="4:78" x14ac:dyDescent="0.25">
      <c r="D690"/>
      <c r="E690"/>
      <c r="F690"/>
      <c r="G690"/>
      <c r="H690"/>
      <c r="I690"/>
      <c r="J690"/>
      <c r="K690"/>
      <c r="L690"/>
      <c r="M690"/>
      <c r="N690"/>
      <c r="O690"/>
      <c r="P690"/>
      <c r="Q690"/>
      <c r="R690"/>
      <c r="S690"/>
      <c r="T690"/>
      <c r="U690"/>
      <c r="V690"/>
      <c r="W690"/>
      <c r="X690"/>
      <c r="Y690"/>
      <c r="Z690"/>
      <c r="AA690"/>
      <c r="AB690"/>
      <c r="AC690"/>
      <c r="AD690"/>
      <c r="AE690"/>
      <c r="AF690"/>
      <c r="AG690"/>
      <c r="AH690"/>
      <c r="AI690"/>
      <c r="AJ690"/>
      <c r="AK690"/>
      <c r="AL690"/>
      <c r="AM690"/>
      <c r="AN690"/>
      <c r="AO690"/>
      <c r="AP690"/>
      <c r="AQ690"/>
      <c r="AR690"/>
      <c r="AS690"/>
      <c r="AT690"/>
      <c r="AU690"/>
      <c r="AV690"/>
      <c r="AW690"/>
      <c r="AX690"/>
      <c r="AY690"/>
      <c r="AZ690"/>
      <c r="BA690"/>
      <c r="BB690"/>
      <c r="BC690"/>
      <c r="BD690"/>
      <c r="BE690"/>
      <c r="BF690"/>
      <c r="BG690"/>
      <c r="BH690"/>
      <c r="BI690"/>
      <c r="BJ690"/>
      <c r="BK690"/>
      <c r="BL690"/>
      <c r="BM690"/>
      <c r="BN690"/>
      <c r="BO690"/>
      <c r="BP690"/>
      <c r="BQ690"/>
      <c r="BR690"/>
      <c r="BS690"/>
      <c r="BT690"/>
      <c r="BU690"/>
      <c r="BV690"/>
      <c r="BW690"/>
      <c r="BX690"/>
      <c r="BY690"/>
      <c r="BZ690"/>
    </row>
    <row r="691" spans="4:78" x14ac:dyDescent="0.25">
      <c r="D691"/>
      <c r="E691"/>
      <c r="F691"/>
      <c r="G691"/>
      <c r="H691"/>
      <c r="I691"/>
      <c r="J691"/>
      <c r="K691"/>
      <c r="L691"/>
      <c r="M691"/>
      <c r="N691"/>
      <c r="O691"/>
      <c r="P691"/>
      <c r="Q691"/>
      <c r="R691"/>
      <c r="S691"/>
      <c r="T691"/>
      <c r="U691"/>
      <c r="V691"/>
      <c r="W691"/>
      <c r="X691"/>
      <c r="Y691"/>
      <c r="Z691"/>
      <c r="AA691"/>
      <c r="AB691"/>
      <c r="AC691"/>
      <c r="AD691"/>
      <c r="AE691"/>
      <c r="AF691"/>
      <c r="AG691"/>
      <c r="AH691"/>
      <c r="AI691"/>
      <c r="AJ691"/>
      <c r="AK691"/>
      <c r="AL691"/>
      <c r="AM691"/>
      <c r="AN691"/>
      <c r="AO691"/>
      <c r="AP691"/>
      <c r="AQ691"/>
      <c r="AR691"/>
      <c r="AS691"/>
      <c r="AT691"/>
      <c r="AU691"/>
      <c r="AV691"/>
      <c r="AW691"/>
      <c r="AX691"/>
      <c r="AY691"/>
      <c r="AZ691"/>
      <c r="BA691"/>
      <c r="BB691"/>
      <c r="BC691"/>
      <c r="BD691"/>
      <c r="BE691"/>
      <c r="BF691"/>
      <c r="BG691"/>
      <c r="BH691"/>
      <c r="BI691"/>
      <c r="BJ691"/>
      <c r="BK691"/>
      <c r="BL691"/>
      <c r="BM691"/>
      <c r="BN691"/>
      <c r="BO691"/>
      <c r="BP691"/>
      <c r="BQ691"/>
      <c r="BR691"/>
      <c r="BS691"/>
      <c r="BT691"/>
      <c r="BU691"/>
      <c r="BV691"/>
      <c r="BW691"/>
      <c r="BX691"/>
      <c r="BY691"/>
      <c r="BZ691"/>
    </row>
    <row r="692" spans="4:78" x14ac:dyDescent="0.25">
      <c r="D692"/>
      <c r="E692"/>
      <c r="F692"/>
      <c r="G692"/>
      <c r="H692"/>
      <c r="I692"/>
      <c r="J692"/>
      <c r="K692"/>
      <c r="L692"/>
      <c r="M692"/>
      <c r="N692"/>
      <c r="O692"/>
      <c r="P692"/>
      <c r="Q692"/>
      <c r="R692"/>
      <c r="S692"/>
      <c r="T692"/>
      <c r="U692"/>
      <c r="V692"/>
      <c r="W692"/>
      <c r="X692"/>
      <c r="Y692"/>
      <c r="Z692"/>
      <c r="AA692"/>
      <c r="AB692"/>
      <c r="AC692"/>
      <c r="AD692"/>
      <c r="AE692"/>
      <c r="AF692"/>
      <c r="AG692"/>
      <c r="AH692"/>
      <c r="AI692"/>
      <c r="AJ692"/>
      <c r="AK692"/>
      <c r="AL692"/>
      <c r="AM692"/>
      <c r="AN692"/>
      <c r="AO692"/>
      <c r="AP692"/>
      <c r="AQ692"/>
      <c r="AR692"/>
      <c r="AS692"/>
      <c r="AT692"/>
      <c r="AU692"/>
      <c r="AV692"/>
      <c r="AW692"/>
      <c r="AX692"/>
      <c r="AY692"/>
      <c r="AZ692"/>
      <c r="BA692"/>
      <c r="BB692"/>
      <c r="BC692"/>
      <c r="BD692"/>
      <c r="BE692"/>
      <c r="BF692"/>
      <c r="BG692"/>
      <c r="BH692"/>
      <c r="BI692"/>
      <c r="BJ692"/>
      <c r="BK692"/>
      <c r="BL692"/>
      <c r="BM692"/>
      <c r="BN692"/>
      <c r="BO692"/>
      <c r="BP692"/>
      <c r="BQ692"/>
      <c r="BR692"/>
      <c r="BS692"/>
      <c r="BT692"/>
      <c r="BU692"/>
      <c r="BV692"/>
      <c r="BW692"/>
      <c r="BX692"/>
      <c r="BY692"/>
      <c r="BZ692"/>
    </row>
    <row r="693" spans="4:78" x14ac:dyDescent="0.25">
      <c r="D693"/>
      <c r="E693"/>
      <c r="F693"/>
      <c r="G693"/>
      <c r="H693"/>
      <c r="I693"/>
      <c r="J693"/>
      <c r="K693"/>
      <c r="L693"/>
      <c r="M693"/>
      <c r="N693"/>
      <c r="O693"/>
      <c r="P693"/>
      <c r="Q693"/>
      <c r="R693"/>
      <c r="S693"/>
      <c r="T693"/>
      <c r="U693"/>
      <c r="V693"/>
      <c r="W693"/>
      <c r="X693"/>
      <c r="Y693"/>
      <c r="Z693"/>
      <c r="AA693"/>
      <c r="AB693"/>
      <c r="AC693"/>
      <c r="AD693"/>
      <c r="AE693"/>
      <c r="AF693"/>
      <c r="AG693"/>
      <c r="AH693"/>
      <c r="AI693"/>
      <c r="AJ693"/>
      <c r="AK693"/>
      <c r="AL693"/>
      <c r="AM693"/>
      <c r="AN693"/>
      <c r="AO693"/>
      <c r="AP693"/>
      <c r="AQ693"/>
      <c r="AR693"/>
      <c r="AS693"/>
      <c r="AT693"/>
      <c r="AU693"/>
      <c r="AV693"/>
      <c r="AW693"/>
      <c r="AX693"/>
      <c r="AY693"/>
      <c r="AZ693"/>
      <c r="BA693"/>
      <c r="BB693"/>
      <c r="BC693"/>
      <c r="BD693"/>
      <c r="BE693"/>
      <c r="BF693"/>
      <c r="BG693"/>
      <c r="BH693"/>
      <c r="BI693"/>
      <c r="BJ693"/>
      <c r="BK693"/>
      <c r="BL693"/>
      <c r="BM693"/>
      <c r="BN693"/>
      <c r="BO693"/>
      <c r="BP693"/>
      <c r="BQ693"/>
      <c r="BR693"/>
      <c r="BS693"/>
      <c r="BT693"/>
      <c r="BU693"/>
      <c r="BV693"/>
      <c r="BW693"/>
      <c r="BX693"/>
      <c r="BY693"/>
      <c r="BZ693"/>
    </row>
    <row r="694" spans="4:78" x14ac:dyDescent="0.25">
      <c r="D694"/>
      <c r="E694"/>
      <c r="F694"/>
      <c r="G694"/>
      <c r="H694"/>
      <c r="I694"/>
      <c r="J694"/>
      <c r="K694"/>
      <c r="L694"/>
      <c r="M694"/>
      <c r="N694"/>
      <c r="O694"/>
      <c r="P694"/>
      <c r="Q694"/>
      <c r="R694"/>
      <c r="S694"/>
      <c r="T694"/>
      <c r="U694"/>
      <c r="V694"/>
      <c r="W694"/>
      <c r="X694"/>
      <c r="Y694"/>
      <c r="Z694"/>
      <c r="AA694"/>
      <c r="AB694"/>
      <c r="AC694"/>
      <c r="AD694"/>
      <c r="AE694"/>
      <c r="AF694"/>
      <c r="AG694"/>
      <c r="AH694"/>
      <c r="AI694"/>
      <c r="AJ694"/>
      <c r="AK694"/>
      <c r="AL694"/>
      <c r="AM694"/>
      <c r="AN694"/>
      <c r="AO694"/>
      <c r="AP694"/>
      <c r="AQ694"/>
      <c r="AR694"/>
      <c r="AS694"/>
      <c r="AT694"/>
      <c r="AU694"/>
      <c r="AV694"/>
      <c r="AW694"/>
      <c r="AX694"/>
      <c r="AY694"/>
      <c r="AZ694"/>
      <c r="BA694"/>
      <c r="BB694"/>
      <c r="BC694"/>
      <c r="BD694"/>
      <c r="BE694"/>
      <c r="BF694"/>
      <c r="BG694"/>
      <c r="BH694"/>
      <c r="BI694"/>
      <c r="BJ694"/>
      <c r="BK694"/>
      <c r="BL694"/>
      <c r="BM694"/>
      <c r="BN694"/>
      <c r="BO694"/>
      <c r="BP694"/>
      <c r="BQ694"/>
      <c r="BR694"/>
      <c r="BS694"/>
      <c r="BT694"/>
      <c r="BU694"/>
      <c r="BV694"/>
      <c r="BW694"/>
      <c r="BX694"/>
      <c r="BY694"/>
      <c r="BZ694"/>
    </row>
    <row r="695" spans="4:78" x14ac:dyDescent="0.25">
      <c r="D695"/>
      <c r="E695"/>
      <c r="F695"/>
      <c r="G695"/>
      <c r="H695"/>
      <c r="I695"/>
      <c r="J695"/>
      <c r="K695"/>
      <c r="L695"/>
      <c r="M695"/>
      <c r="N695"/>
      <c r="O695"/>
      <c r="P695"/>
      <c r="Q695"/>
      <c r="R695"/>
      <c r="S695"/>
      <c r="T695"/>
      <c r="U695"/>
      <c r="V695"/>
      <c r="W695"/>
      <c r="X695"/>
      <c r="Y695"/>
      <c r="Z695"/>
      <c r="AA695"/>
      <c r="AB695"/>
      <c r="AC695"/>
      <c r="AD695"/>
      <c r="AE695"/>
      <c r="AF695"/>
      <c r="AG695"/>
      <c r="AH695"/>
      <c r="AI695"/>
      <c r="AJ695"/>
      <c r="AK695"/>
      <c r="AL695"/>
      <c r="AM695"/>
      <c r="AN695"/>
      <c r="AO695"/>
      <c r="AP695"/>
      <c r="AQ695"/>
      <c r="AR695"/>
      <c r="AS695"/>
      <c r="AT695"/>
      <c r="AU695"/>
      <c r="AV695"/>
      <c r="AW695"/>
      <c r="AX695"/>
      <c r="AY695"/>
      <c r="AZ695"/>
      <c r="BA695"/>
      <c r="BB695"/>
      <c r="BC695"/>
      <c r="BD695"/>
      <c r="BE695"/>
      <c r="BF695"/>
      <c r="BG695"/>
      <c r="BH695"/>
      <c r="BI695"/>
      <c r="BJ695"/>
      <c r="BK695"/>
      <c r="BL695"/>
      <c r="BM695"/>
      <c r="BN695"/>
      <c r="BO695"/>
      <c r="BP695"/>
      <c r="BQ695"/>
      <c r="BR695"/>
      <c r="BS695"/>
      <c r="BT695"/>
      <c r="BU695"/>
      <c r="BV695"/>
      <c r="BW695"/>
      <c r="BX695"/>
      <c r="BY695"/>
      <c r="BZ695"/>
    </row>
    <row r="696" spans="4:78" x14ac:dyDescent="0.25">
      <c r="D696"/>
      <c r="E696"/>
      <c r="F696"/>
      <c r="G696"/>
      <c r="H696"/>
      <c r="I696"/>
      <c r="J696"/>
      <c r="K696"/>
      <c r="L696"/>
      <c r="M696"/>
      <c r="N696"/>
      <c r="O696"/>
      <c r="P696"/>
      <c r="Q696"/>
      <c r="R696"/>
      <c r="S696"/>
      <c r="T696"/>
      <c r="U696"/>
      <c r="V696"/>
      <c r="W696"/>
      <c r="X696"/>
      <c r="Y696"/>
      <c r="Z696"/>
      <c r="AA696"/>
      <c r="AB696"/>
      <c r="AC696"/>
      <c r="AD696"/>
      <c r="AE696"/>
      <c r="AF696"/>
      <c r="AG696"/>
      <c r="AH696"/>
      <c r="AI696"/>
      <c r="AJ696"/>
      <c r="AK696"/>
      <c r="AL696"/>
      <c r="AM696"/>
      <c r="AN696"/>
      <c r="AO696"/>
      <c r="AP696"/>
      <c r="AQ696"/>
      <c r="AR696"/>
      <c r="AS696"/>
      <c r="AT696"/>
      <c r="AU696"/>
      <c r="AV696"/>
      <c r="AW696"/>
      <c r="AX696"/>
      <c r="AY696"/>
      <c r="AZ696"/>
      <c r="BA696"/>
      <c r="BB696"/>
      <c r="BC696"/>
      <c r="BD696"/>
      <c r="BE696"/>
      <c r="BF696"/>
      <c r="BG696"/>
      <c r="BH696"/>
      <c r="BI696"/>
      <c r="BJ696"/>
      <c r="BK696"/>
      <c r="BL696"/>
      <c r="BM696"/>
      <c r="BN696"/>
      <c r="BO696"/>
      <c r="BP696"/>
      <c r="BQ696"/>
      <c r="BR696"/>
      <c r="BS696"/>
      <c r="BT696"/>
      <c r="BU696"/>
      <c r="BV696"/>
      <c r="BW696"/>
      <c r="BX696"/>
      <c r="BY696"/>
      <c r="BZ696"/>
    </row>
    <row r="697" spans="4:78" x14ac:dyDescent="0.25">
      <c r="D697"/>
      <c r="E697"/>
      <c r="F697"/>
      <c r="G697"/>
      <c r="H697"/>
      <c r="I697"/>
      <c r="J697"/>
      <c r="K697"/>
      <c r="L697"/>
      <c r="M697"/>
      <c r="N697"/>
      <c r="O697"/>
      <c r="P697"/>
      <c r="Q697"/>
      <c r="R697"/>
      <c r="S697"/>
      <c r="T697"/>
      <c r="U697"/>
      <c r="V697"/>
      <c r="W697"/>
      <c r="X697"/>
      <c r="Y697"/>
      <c r="Z697"/>
      <c r="AA697"/>
      <c r="AB697"/>
      <c r="AC697"/>
      <c r="AD697"/>
      <c r="AE697"/>
      <c r="AF697"/>
      <c r="AG697"/>
      <c r="AH697"/>
      <c r="AI697"/>
      <c r="AJ697"/>
      <c r="AK697"/>
      <c r="AL697"/>
      <c r="AM697"/>
      <c r="AN697"/>
      <c r="AO697"/>
      <c r="AP697"/>
      <c r="AQ697"/>
      <c r="AR697"/>
      <c r="AS697"/>
      <c r="AT697"/>
      <c r="AU697"/>
      <c r="AV697"/>
      <c r="AW697"/>
      <c r="AX697"/>
      <c r="AY697"/>
      <c r="AZ697"/>
      <c r="BA697"/>
      <c r="BB697"/>
      <c r="BC697"/>
      <c r="BD697"/>
      <c r="BE697"/>
      <c r="BF697"/>
      <c r="BG697"/>
      <c r="BH697"/>
      <c r="BI697"/>
      <c r="BJ697"/>
      <c r="BK697"/>
      <c r="BL697"/>
      <c r="BM697"/>
      <c r="BN697"/>
      <c r="BO697"/>
      <c r="BP697"/>
      <c r="BQ697"/>
      <c r="BR697"/>
      <c r="BS697"/>
      <c r="BT697"/>
      <c r="BU697"/>
      <c r="BV697"/>
      <c r="BW697"/>
      <c r="BX697"/>
      <c r="BY697"/>
      <c r="BZ697"/>
    </row>
    <row r="698" spans="4:78" x14ac:dyDescent="0.25">
      <c r="D698"/>
      <c r="E698"/>
      <c r="F698"/>
      <c r="G698"/>
      <c r="H698"/>
      <c r="I698"/>
      <c r="J698"/>
      <c r="K698"/>
      <c r="L698"/>
      <c r="M698"/>
      <c r="N698"/>
      <c r="O698"/>
      <c r="P698"/>
      <c r="Q698"/>
      <c r="R698"/>
      <c r="S698"/>
      <c r="T698"/>
      <c r="U698"/>
      <c r="V698"/>
      <c r="W698"/>
      <c r="X698"/>
      <c r="Y698"/>
      <c r="Z698"/>
      <c r="AA698"/>
      <c r="AB698"/>
      <c r="AC698"/>
      <c r="AD698"/>
      <c r="AE698"/>
      <c r="AF698"/>
      <c r="AG698"/>
      <c r="AH698"/>
      <c r="AI698"/>
      <c r="AJ698"/>
      <c r="AK698"/>
      <c r="AL698"/>
      <c r="AM698"/>
      <c r="AN698"/>
      <c r="AO698"/>
      <c r="AP698"/>
      <c r="AQ698"/>
      <c r="AR698"/>
      <c r="AS698"/>
      <c r="AT698"/>
      <c r="AU698"/>
      <c r="AV698"/>
      <c r="AW698"/>
      <c r="AX698"/>
      <c r="AY698"/>
      <c r="AZ698"/>
      <c r="BA698"/>
      <c r="BB698"/>
      <c r="BC698"/>
      <c r="BD698"/>
      <c r="BE698"/>
      <c r="BF698"/>
      <c r="BG698"/>
      <c r="BH698"/>
      <c r="BI698"/>
      <c r="BJ698"/>
      <c r="BK698"/>
      <c r="BL698"/>
      <c r="BM698"/>
      <c r="BN698"/>
      <c r="BO698"/>
      <c r="BP698"/>
      <c r="BQ698"/>
      <c r="BR698"/>
      <c r="BS698"/>
      <c r="BT698"/>
      <c r="BU698"/>
      <c r="BV698"/>
      <c r="BW698"/>
      <c r="BX698"/>
      <c r="BY698"/>
      <c r="BZ698"/>
    </row>
    <row r="699" spans="4:78" x14ac:dyDescent="0.25">
      <c r="D699"/>
      <c r="E699"/>
      <c r="F699"/>
      <c r="G699"/>
      <c r="H699"/>
      <c r="I699"/>
      <c r="J699"/>
      <c r="K699"/>
      <c r="L699"/>
      <c r="M699"/>
      <c r="N699"/>
      <c r="O699"/>
      <c r="P699"/>
      <c r="Q699"/>
      <c r="R699"/>
      <c r="S699"/>
      <c r="T699"/>
      <c r="U699"/>
      <c r="V699"/>
      <c r="W699"/>
      <c r="X699"/>
      <c r="Y699"/>
      <c r="Z699"/>
      <c r="AA699"/>
      <c r="AB699"/>
      <c r="AC699"/>
      <c r="AD699"/>
      <c r="AE699"/>
      <c r="AF699"/>
      <c r="AG699"/>
      <c r="AH699"/>
      <c r="AI699"/>
      <c r="AJ699"/>
      <c r="AK699"/>
      <c r="AL699"/>
      <c r="AM699"/>
      <c r="AN699"/>
      <c r="AO699"/>
      <c r="AP699"/>
      <c r="AQ699"/>
      <c r="AR699"/>
      <c r="AS699"/>
      <c r="AT699"/>
      <c r="AU699"/>
      <c r="AV699"/>
      <c r="AW699"/>
      <c r="AX699"/>
      <c r="AY699"/>
      <c r="AZ699"/>
      <c r="BA699"/>
      <c r="BB699"/>
      <c r="BC699"/>
      <c r="BD699"/>
      <c r="BE699"/>
      <c r="BF699"/>
      <c r="BG699"/>
      <c r="BH699"/>
      <c r="BI699"/>
      <c r="BJ699"/>
      <c r="BK699"/>
      <c r="BL699"/>
      <c r="BM699"/>
      <c r="BN699"/>
      <c r="BO699"/>
      <c r="BP699"/>
      <c r="BQ699"/>
      <c r="BR699"/>
      <c r="BS699"/>
      <c r="BT699"/>
      <c r="BU699"/>
      <c r="BV699"/>
      <c r="BW699"/>
      <c r="BX699"/>
      <c r="BY699"/>
      <c r="BZ699"/>
    </row>
    <row r="700" spans="4:78" x14ac:dyDescent="0.25">
      <c r="D700"/>
      <c r="E700"/>
      <c r="F700"/>
      <c r="G700"/>
      <c r="H700"/>
      <c r="I700"/>
      <c r="J700"/>
      <c r="K700"/>
      <c r="L700"/>
      <c r="M700"/>
      <c r="N700"/>
      <c r="O700"/>
      <c r="P700"/>
      <c r="Q700"/>
      <c r="R700"/>
      <c r="S700"/>
      <c r="T700"/>
      <c r="U700"/>
      <c r="V700"/>
      <c r="W700"/>
      <c r="X700"/>
      <c r="Y700"/>
      <c r="Z700"/>
      <c r="AA700"/>
      <c r="AB700"/>
      <c r="AC700"/>
      <c r="AD700"/>
      <c r="AE700"/>
      <c r="AF700"/>
      <c r="AG700"/>
      <c r="AH700"/>
      <c r="AI700"/>
      <c r="AJ700"/>
      <c r="AK700"/>
      <c r="AL700"/>
      <c r="AM700"/>
      <c r="AN700"/>
      <c r="AO700"/>
      <c r="AP700"/>
      <c r="AQ700"/>
      <c r="AR700"/>
      <c r="AS700"/>
      <c r="AT700"/>
      <c r="AU700"/>
      <c r="AV700"/>
      <c r="AW700"/>
      <c r="AX700"/>
      <c r="AY700"/>
      <c r="AZ700"/>
      <c r="BA700"/>
      <c r="BB700"/>
      <c r="BC700"/>
      <c r="BD700"/>
      <c r="BE700"/>
      <c r="BF700"/>
      <c r="BG700"/>
      <c r="BH700"/>
      <c r="BI700"/>
      <c r="BJ700"/>
      <c r="BK700"/>
      <c r="BL700"/>
      <c r="BM700"/>
      <c r="BN700"/>
      <c r="BO700"/>
      <c r="BP700"/>
      <c r="BQ700"/>
      <c r="BR700"/>
      <c r="BS700"/>
      <c r="BT700"/>
      <c r="BU700"/>
      <c r="BV700"/>
      <c r="BW700"/>
      <c r="BX700"/>
      <c r="BY700"/>
      <c r="BZ700"/>
    </row>
    <row r="701" spans="4:78" x14ac:dyDescent="0.25">
      <c r="D701"/>
      <c r="E701"/>
      <c r="F701"/>
      <c r="G701"/>
      <c r="H701"/>
      <c r="I701"/>
      <c r="J701"/>
      <c r="K701"/>
      <c r="L701"/>
      <c r="M701"/>
      <c r="N701"/>
      <c r="O701"/>
      <c r="P701"/>
      <c r="Q701"/>
      <c r="R701"/>
      <c r="S701"/>
      <c r="T701"/>
      <c r="U701"/>
      <c r="V701"/>
      <c r="W701"/>
      <c r="X701"/>
      <c r="Y701"/>
      <c r="Z701"/>
      <c r="AA701"/>
      <c r="AB701"/>
      <c r="AC701"/>
      <c r="AD701"/>
      <c r="AE701"/>
      <c r="AF701"/>
      <c r="AG701"/>
      <c r="AH701"/>
      <c r="AI701"/>
      <c r="AJ701"/>
      <c r="AK701"/>
      <c r="AL701"/>
      <c r="AM701"/>
      <c r="AN701"/>
      <c r="AO701"/>
      <c r="AP701"/>
      <c r="AQ701"/>
      <c r="AR701"/>
      <c r="AS701"/>
      <c r="AT701"/>
      <c r="AU701"/>
      <c r="AV701"/>
      <c r="AW701"/>
      <c r="AX701"/>
      <c r="AY701"/>
      <c r="AZ701"/>
      <c r="BA701"/>
      <c r="BB701"/>
      <c r="BC701"/>
      <c r="BD701"/>
      <c r="BE701"/>
      <c r="BF701"/>
      <c r="BG701"/>
      <c r="BH701"/>
      <c r="BI701"/>
      <c r="BJ701"/>
      <c r="BK701"/>
      <c r="BL701"/>
      <c r="BM701"/>
      <c r="BN701"/>
      <c r="BO701"/>
      <c r="BP701"/>
      <c r="BQ701"/>
      <c r="BR701"/>
      <c r="BS701"/>
      <c r="BT701"/>
      <c r="BU701"/>
      <c r="BV701"/>
      <c r="BW701"/>
      <c r="BX701"/>
      <c r="BY701"/>
      <c r="BZ701"/>
    </row>
    <row r="702" spans="4:78" x14ac:dyDescent="0.25">
      <c r="D702"/>
      <c r="E702"/>
      <c r="F702"/>
      <c r="G702"/>
      <c r="H702"/>
      <c r="I702"/>
      <c r="J702"/>
      <c r="K702"/>
      <c r="L702"/>
      <c r="M702"/>
      <c r="N702"/>
      <c r="O702"/>
      <c r="P702"/>
      <c r="Q702"/>
      <c r="R702"/>
      <c r="S702"/>
      <c r="T702"/>
      <c r="U702"/>
      <c r="V702"/>
      <c r="W702"/>
      <c r="X702"/>
      <c r="Y702"/>
      <c r="Z702"/>
      <c r="AA702"/>
      <c r="AB702"/>
      <c r="AC702"/>
      <c r="AD702"/>
      <c r="AE702"/>
      <c r="AF702"/>
      <c r="AG702"/>
      <c r="AH702"/>
      <c r="AI702"/>
      <c r="AJ702"/>
      <c r="AK702"/>
      <c r="AL702"/>
      <c r="AM702"/>
      <c r="AN702"/>
      <c r="AO702"/>
      <c r="AP702"/>
      <c r="AQ702"/>
      <c r="AR702"/>
      <c r="AS702"/>
      <c r="AT702"/>
      <c r="AU702"/>
      <c r="AV702"/>
      <c r="AW702"/>
      <c r="AX702"/>
      <c r="AY702"/>
      <c r="AZ702"/>
      <c r="BA702"/>
      <c r="BB702"/>
      <c r="BC702"/>
      <c r="BD702"/>
      <c r="BE702"/>
      <c r="BF702"/>
      <c r="BG702"/>
      <c r="BH702"/>
      <c r="BI702"/>
      <c r="BJ702"/>
      <c r="BK702"/>
      <c r="BL702"/>
      <c r="BM702"/>
      <c r="BN702"/>
      <c r="BO702"/>
      <c r="BP702"/>
      <c r="BQ702"/>
      <c r="BR702"/>
      <c r="BS702"/>
      <c r="BT702"/>
      <c r="BU702"/>
      <c r="BV702"/>
      <c r="BW702"/>
      <c r="BX702"/>
      <c r="BY702"/>
      <c r="BZ702"/>
    </row>
    <row r="703" spans="4:78" x14ac:dyDescent="0.25">
      <c r="D703"/>
      <c r="E703"/>
      <c r="F703"/>
      <c r="G703"/>
      <c r="H703"/>
      <c r="I703"/>
      <c r="J703"/>
      <c r="K703"/>
      <c r="L703"/>
      <c r="M703"/>
      <c r="N703"/>
      <c r="O703"/>
      <c r="P703"/>
      <c r="Q703"/>
      <c r="R703"/>
      <c r="S703"/>
      <c r="T703"/>
      <c r="U703"/>
      <c r="V703"/>
      <c r="W703"/>
      <c r="X703"/>
      <c r="Y703"/>
      <c r="Z703"/>
      <c r="AA703"/>
      <c r="AB703"/>
      <c r="AC703"/>
      <c r="AD703"/>
      <c r="AE703"/>
      <c r="AF703"/>
      <c r="AG703"/>
      <c r="AH703"/>
      <c r="AI703"/>
      <c r="AJ703"/>
      <c r="AK703"/>
      <c r="AL703"/>
      <c r="AM703"/>
      <c r="AN703"/>
      <c r="AO703"/>
      <c r="AP703"/>
      <c r="AQ703"/>
      <c r="AR703"/>
      <c r="AS703"/>
      <c r="AT703"/>
      <c r="AU703"/>
      <c r="AV703"/>
      <c r="AW703"/>
      <c r="AX703"/>
      <c r="AY703"/>
      <c r="AZ703"/>
      <c r="BA703"/>
      <c r="BB703"/>
      <c r="BC703"/>
      <c r="BD703"/>
      <c r="BE703"/>
      <c r="BF703"/>
      <c r="BG703"/>
      <c r="BH703"/>
      <c r="BI703"/>
      <c r="BJ703"/>
      <c r="BK703"/>
      <c r="BL703"/>
      <c r="BM703"/>
      <c r="BN703"/>
      <c r="BO703"/>
      <c r="BP703"/>
      <c r="BQ703"/>
      <c r="BR703"/>
      <c r="BS703"/>
      <c r="BT703"/>
      <c r="BU703"/>
      <c r="BV703"/>
      <c r="BW703"/>
      <c r="BX703"/>
      <c r="BY703"/>
      <c r="BZ703"/>
    </row>
    <row r="704" spans="4:78" x14ac:dyDescent="0.25">
      <c r="D704"/>
      <c r="E704"/>
      <c r="F704"/>
      <c r="G704"/>
      <c r="H704"/>
      <c r="I704"/>
      <c r="J704"/>
      <c r="K704"/>
      <c r="L704"/>
      <c r="M704"/>
      <c r="N704"/>
      <c r="O704"/>
      <c r="P704"/>
      <c r="Q704"/>
      <c r="R704"/>
      <c r="S704"/>
      <c r="T704"/>
      <c r="U704"/>
      <c r="V704"/>
      <c r="W704"/>
      <c r="X704"/>
      <c r="Y704"/>
      <c r="Z704"/>
      <c r="AA704"/>
      <c r="AB704"/>
      <c r="AC704"/>
      <c r="AD704"/>
      <c r="AE704"/>
      <c r="AF704"/>
      <c r="AG704"/>
      <c r="AH704"/>
      <c r="AI704"/>
      <c r="AJ704"/>
      <c r="AK704"/>
      <c r="AL704"/>
      <c r="AM704"/>
      <c r="AN704"/>
      <c r="AO704"/>
      <c r="AP704"/>
      <c r="AQ704"/>
      <c r="AR704"/>
      <c r="AS704"/>
      <c r="AT704"/>
      <c r="AU704"/>
      <c r="AV704"/>
      <c r="AW704"/>
      <c r="AX704"/>
      <c r="AY704"/>
      <c r="AZ704"/>
      <c r="BA704"/>
      <c r="BB704"/>
      <c r="BC704"/>
      <c r="BD704"/>
      <c r="BE704"/>
      <c r="BF704"/>
      <c r="BG704"/>
      <c r="BH704"/>
      <c r="BI704"/>
      <c r="BJ704"/>
      <c r="BK704"/>
      <c r="BL704"/>
      <c r="BM704"/>
      <c r="BN704"/>
      <c r="BO704"/>
      <c r="BP704"/>
      <c r="BQ704"/>
      <c r="BR704"/>
      <c r="BS704"/>
      <c r="BT704"/>
      <c r="BU704"/>
      <c r="BV704"/>
      <c r="BW704"/>
      <c r="BX704"/>
      <c r="BY704"/>
      <c r="BZ704"/>
    </row>
    <row r="705" spans="4:78" x14ac:dyDescent="0.25">
      <c r="D705"/>
      <c r="E705"/>
      <c r="F705"/>
      <c r="G705"/>
      <c r="H705"/>
      <c r="I705"/>
      <c r="J705"/>
      <c r="K705"/>
      <c r="L705"/>
      <c r="M705"/>
      <c r="N705"/>
      <c r="O705"/>
      <c r="P705"/>
      <c r="Q705"/>
      <c r="R705"/>
      <c r="S705"/>
      <c r="T705"/>
      <c r="U705"/>
      <c r="V705"/>
      <c r="W705"/>
      <c r="X705"/>
      <c r="Y705"/>
      <c r="Z705"/>
      <c r="AA705"/>
      <c r="AB705"/>
      <c r="AC705"/>
      <c r="AD705"/>
      <c r="AE705"/>
      <c r="AF705"/>
      <c r="AG705"/>
      <c r="AH705"/>
      <c r="AI705"/>
      <c r="AJ705"/>
      <c r="AK705"/>
      <c r="AL705"/>
      <c r="AM705"/>
      <c r="AN705"/>
      <c r="AO705"/>
      <c r="AP705"/>
      <c r="AQ705"/>
      <c r="AR705"/>
      <c r="AS705"/>
      <c r="AT705"/>
      <c r="AU705"/>
      <c r="AV705"/>
      <c r="AW705"/>
      <c r="AX705"/>
      <c r="AY705"/>
      <c r="AZ705"/>
      <c r="BA705"/>
      <c r="BB705"/>
      <c r="BC705"/>
      <c r="BD705"/>
      <c r="BE705"/>
      <c r="BF705"/>
      <c r="BG705"/>
      <c r="BH705"/>
      <c r="BI705"/>
      <c r="BJ705"/>
      <c r="BK705"/>
      <c r="BL705"/>
      <c r="BM705"/>
      <c r="BN705"/>
      <c r="BO705"/>
      <c r="BP705"/>
      <c r="BQ705"/>
      <c r="BR705"/>
      <c r="BS705"/>
      <c r="BT705"/>
      <c r="BU705"/>
      <c r="BV705"/>
      <c r="BW705"/>
      <c r="BX705"/>
      <c r="BY705"/>
      <c r="BZ705"/>
    </row>
    <row r="706" spans="4:78" x14ac:dyDescent="0.25">
      <c r="D706"/>
      <c r="E706"/>
      <c r="F706"/>
      <c r="G706"/>
      <c r="H706"/>
      <c r="I706"/>
      <c r="J706"/>
      <c r="K706"/>
      <c r="L706"/>
      <c r="M706"/>
      <c r="N706"/>
      <c r="O706"/>
      <c r="P706"/>
      <c r="Q706"/>
      <c r="R706"/>
      <c r="S706"/>
      <c r="T706"/>
      <c r="U706"/>
      <c r="V706"/>
      <c r="W706"/>
      <c r="X706"/>
      <c r="Y706"/>
      <c r="Z706"/>
      <c r="AA706"/>
      <c r="AB706"/>
      <c r="AC706"/>
      <c r="AD706"/>
      <c r="AE706"/>
      <c r="AF706"/>
      <c r="AG706"/>
      <c r="AH706"/>
      <c r="AI706"/>
      <c r="AJ706"/>
      <c r="AK706"/>
      <c r="AL706"/>
      <c r="AM706"/>
      <c r="AN706"/>
      <c r="AO706"/>
      <c r="AP706"/>
      <c r="AQ706"/>
      <c r="AR706"/>
      <c r="AS706"/>
      <c r="AT706"/>
      <c r="AU706"/>
      <c r="AV706"/>
      <c r="AW706"/>
      <c r="AX706"/>
      <c r="AY706"/>
      <c r="AZ706"/>
      <c r="BA706"/>
      <c r="BB706"/>
      <c r="BC706"/>
      <c r="BD706"/>
      <c r="BE706"/>
      <c r="BF706"/>
      <c r="BG706"/>
      <c r="BH706"/>
      <c r="BI706"/>
      <c r="BJ706"/>
      <c r="BK706"/>
      <c r="BL706"/>
      <c r="BM706"/>
      <c r="BN706"/>
      <c r="BO706"/>
      <c r="BP706"/>
      <c r="BQ706"/>
      <c r="BR706"/>
      <c r="BS706"/>
      <c r="BT706"/>
      <c r="BU706"/>
      <c r="BV706"/>
      <c r="BW706"/>
      <c r="BX706"/>
      <c r="BY706"/>
      <c r="BZ706"/>
    </row>
    <row r="707" spans="4:78" x14ac:dyDescent="0.25">
      <c r="D707"/>
      <c r="E707"/>
      <c r="F707"/>
      <c r="G707"/>
      <c r="H707"/>
      <c r="I707"/>
      <c r="J707"/>
      <c r="K707"/>
      <c r="L707"/>
      <c r="M707"/>
      <c r="N707"/>
      <c r="O707"/>
      <c r="P707"/>
      <c r="Q707"/>
      <c r="R707"/>
      <c r="S707"/>
      <c r="T707"/>
      <c r="U707"/>
      <c r="V707"/>
      <c r="W707"/>
      <c r="X707"/>
      <c r="Y707"/>
      <c r="Z707"/>
      <c r="AA707"/>
      <c r="AB707"/>
      <c r="AC707"/>
      <c r="AD707"/>
      <c r="AE707"/>
      <c r="AF707"/>
      <c r="AG707"/>
      <c r="AH707"/>
      <c r="AI707"/>
      <c r="AJ707"/>
      <c r="AK707"/>
      <c r="AL707"/>
      <c r="AM707"/>
      <c r="AN707"/>
      <c r="AO707"/>
      <c r="AP707"/>
      <c r="AQ707"/>
      <c r="AR707"/>
      <c r="AS707"/>
      <c r="AT707"/>
      <c r="AU707"/>
      <c r="AV707"/>
      <c r="AW707"/>
      <c r="AX707"/>
      <c r="AY707"/>
      <c r="AZ707"/>
      <c r="BA707"/>
      <c r="BB707"/>
      <c r="BC707"/>
      <c r="BD707"/>
      <c r="BE707"/>
      <c r="BF707"/>
      <c r="BG707"/>
      <c r="BH707"/>
      <c r="BI707"/>
      <c r="BJ707"/>
      <c r="BK707"/>
      <c r="BL707"/>
      <c r="BM707"/>
      <c r="BN707"/>
      <c r="BO707"/>
      <c r="BP707"/>
      <c r="BQ707"/>
      <c r="BR707"/>
      <c r="BS707"/>
      <c r="BT707"/>
      <c r="BU707"/>
      <c r="BV707"/>
      <c r="BW707"/>
      <c r="BX707"/>
      <c r="BY707"/>
      <c r="BZ707"/>
    </row>
    <row r="708" spans="4:78" x14ac:dyDescent="0.25">
      <c r="D708"/>
      <c r="E708"/>
      <c r="F708"/>
      <c r="G708"/>
      <c r="H708"/>
      <c r="I708"/>
      <c r="J708"/>
      <c r="K708"/>
      <c r="L708"/>
      <c r="M708"/>
      <c r="N708"/>
      <c r="O708"/>
      <c r="P708"/>
      <c r="Q708"/>
      <c r="R708"/>
      <c r="S708"/>
      <c r="T708"/>
      <c r="U708"/>
      <c r="V708"/>
      <c r="W708"/>
      <c r="X708"/>
      <c r="Y708"/>
      <c r="Z708"/>
      <c r="AA708"/>
      <c r="AB708"/>
      <c r="AC708"/>
      <c r="AD708"/>
      <c r="AE708"/>
      <c r="AF708"/>
      <c r="AG708"/>
      <c r="AH708"/>
      <c r="AI708"/>
      <c r="AJ708"/>
      <c r="AK708"/>
      <c r="AL708"/>
      <c r="AM708"/>
      <c r="AN708"/>
      <c r="AO708"/>
      <c r="AP708"/>
      <c r="AQ708"/>
      <c r="AR708"/>
      <c r="AS708"/>
      <c r="AT708"/>
      <c r="AU708"/>
      <c r="AV708"/>
      <c r="AW708"/>
      <c r="AX708"/>
      <c r="AY708"/>
      <c r="AZ708"/>
      <c r="BA708"/>
      <c r="BB708"/>
      <c r="BC708"/>
      <c r="BD708"/>
      <c r="BE708"/>
      <c r="BF708"/>
      <c r="BG708"/>
      <c r="BH708"/>
      <c r="BI708"/>
      <c r="BJ708"/>
      <c r="BK708"/>
      <c r="BL708"/>
      <c r="BM708"/>
      <c r="BN708"/>
      <c r="BO708"/>
      <c r="BP708"/>
      <c r="BQ708"/>
      <c r="BR708"/>
      <c r="BS708"/>
      <c r="BT708"/>
      <c r="BU708"/>
      <c r="BV708"/>
      <c r="BW708"/>
      <c r="BX708"/>
      <c r="BY708"/>
      <c r="BZ708"/>
    </row>
    <row r="709" spans="4:78" x14ac:dyDescent="0.25">
      <c r="D709"/>
      <c r="E709"/>
      <c r="F709"/>
      <c r="G709"/>
      <c r="H709"/>
      <c r="I709"/>
      <c r="J709"/>
      <c r="K709"/>
      <c r="L709"/>
      <c r="M709"/>
      <c r="N709"/>
      <c r="O709"/>
      <c r="P709"/>
      <c r="Q709"/>
      <c r="R709"/>
      <c r="S709"/>
      <c r="T709"/>
      <c r="U709"/>
      <c r="V709"/>
      <c r="W709"/>
      <c r="X709"/>
      <c r="Y709"/>
      <c r="Z709"/>
      <c r="AA709"/>
      <c r="AB709"/>
      <c r="AC709"/>
      <c r="AD709"/>
      <c r="AE709"/>
      <c r="AF709"/>
      <c r="AG709"/>
      <c r="AH709"/>
      <c r="AI709"/>
      <c r="AJ709"/>
      <c r="AK709"/>
      <c r="AL709"/>
      <c r="AM709"/>
      <c r="AN709"/>
      <c r="AO709"/>
      <c r="AP709"/>
      <c r="AQ709"/>
      <c r="AR709"/>
      <c r="AS709"/>
      <c r="AT709"/>
      <c r="AU709"/>
      <c r="AV709"/>
      <c r="AW709"/>
      <c r="AX709"/>
      <c r="AY709"/>
      <c r="AZ709"/>
      <c r="BA709"/>
      <c r="BB709"/>
      <c r="BC709"/>
      <c r="BD709"/>
      <c r="BE709"/>
      <c r="BF709"/>
      <c r="BG709"/>
      <c r="BH709"/>
      <c r="BI709"/>
      <c r="BJ709"/>
      <c r="BK709"/>
      <c r="BL709"/>
      <c r="BM709"/>
      <c r="BN709"/>
      <c r="BO709"/>
      <c r="BP709"/>
      <c r="BQ709"/>
      <c r="BR709"/>
      <c r="BS709"/>
      <c r="BT709"/>
      <c r="BU709"/>
      <c r="BV709"/>
      <c r="BW709"/>
      <c r="BX709"/>
      <c r="BY709"/>
      <c r="BZ709"/>
    </row>
    <row r="710" spans="4:78" x14ac:dyDescent="0.25">
      <c r="D710"/>
      <c r="E710"/>
      <c r="F710"/>
      <c r="G710"/>
      <c r="H710"/>
      <c r="I710"/>
      <c r="J710"/>
      <c r="K710"/>
      <c r="L710"/>
      <c r="M710"/>
      <c r="N710"/>
      <c r="O710"/>
      <c r="P710"/>
      <c r="Q710"/>
      <c r="R710"/>
      <c r="S710"/>
      <c r="T710"/>
      <c r="U710"/>
      <c r="V710"/>
      <c r="W710"/>
      <c r="X710"/>
      <c r="Y710"/>
      <c r="Z710"/>
      <c r="AA710"/>
      <c r="AB710"/>
      <c r="AC710"/>
      <c r="AD710"/>
      <c r="AE710"/>
      <c r="AF710"/>
      <c r="AG710"/>
      <c r="AH710"/>
      <c r="AI710"/>
      <c r="AJ710"/>
      <c r="AK710"/>
      <c r="AL710"/>
      <c r="AM710"/>
      <c r="AN710"/>
      <c r="AO710"/>
      <c r="AP710"/>
      <c r="AQ710"/>
      <c r="AR710"/>
      <c r="AS710"/>
      <c r="AT710"/>
      <c r="AU710"/>
      <c r="AV710"/>
      <c r="AW710"/>
      <c r="AX710"/>
      <c r="AY710"/>
      <c r="AZ710"/>
      <c r="BA710"/>
      <c r="BB710"/>
      <c r="BC710"/>
      <c r="BD710"/>
      <c r="BE710"/>
      <c r="BF710"/>
      <c r="BG710"/>
      <c r="BH710"/>
      <c r="BI710"/>
      <c r="BJ710"/>
      <c r="BK710"/>
      <c r="BL710"/>
      <c r="BM710"/>
      <c r="BN710"/>
      <c r="BO710"/>
      <c r="BP710"/>
      <c r="BQ710"/>
      <c r="BR710"/>
      <c r="BS710"/>
      <c r="BT710"/>
      <c r="BU710"/>
      <c r="BV710"/>
      <c r="BW710"/>
      <c r="BX710"/>
      <c r="BY710"/>
      <c r="BZ710"/>
    </row>
    <row r="711" spans="4:78" x14ac:dyDescent="0.25">
      <c r="D711"/>
      <c r="E711"/>
      <c r="F711"/>
      <c r="G711"/>
      <c r="H711"/>
      <c r="I711"/>
      <c r="J711"/>
      <c r="K711"/>
      <c r="L711"/>
      <c r="M711"/>
      <c r="N711"/>
      <c r="O711"/>
      <c r="P711"/>
      <c r="Q711"/>
      <c r="R711"/>
      <c r="S711"/>
      <c r="T711"/>
      <c r="U711"/>
      <c r="V711"/>
      <c r="W711"/>
      <c r="X711"/>
      <c r="Y711"/>
      <c r="Z711"/>
      <c r="AA711"/>
      <c r="AB711"/>
      <c r="AC711"/>
      <c r="AD711"/>
      <c r="AE711"/>
      <c r="AF711"/>
      <c r="AG711"/>
      <c r="AH711"/>
      <c r="AI711"/>
      <c r="AJ711"/>
      <c r="AK711"/>
      <c r="AL711"/>
      <c r="AM711"/>
      <c r="AN711"/>
      <c r="AO711"/>
      <c r="AP711"/>
      <c r="AQ711"/>
      <c r="AR711"/>
      <c r="AS711"/>
      <c r="AT711"/>
      <c r="AU711"/>
      <c r="AV711"/>
      <c r="AW711"/>
      <c r="AX711"/>
      <c r="AY711"/>
      <c r="AZ711"/>
      <c r="BA711"/>
      <c r="BB711"/>
      <c r="BC711"/>
      <c r="BD711"/>
      <c r="BE711"/>
      <c r="BF711"/>
      <c r="BG711"/>
      <c r="BH711"/>
      <c r="BI711"/>
      <c r="BJ711"/>
      <c r="BK711"/>
      <c r="BL711"/>
      <c r="BM711"/>
      <c r="BN711"/>
      <c r="BO711"/>
      <c r="BP711"/>
      <c r="BQ711"/>
      <c r="BR711"/>
      <c r="BS711"/>
      <c r="BT711"/>
      <c r="BU711"/>
      <c r="BV711"/>
      <c r="BW711"/>
      <c r="BX711"/>
      <c r="BY711"/>
      <c r="BZ711"/>
    </row>
    <row r="712" spans="4:78" x14ac:dyDescent="0.25">
      <c r="D712"/>
      <c r="E712"/>
      <c r="F712"/>
      <c r="G712"/>
      <c r="H712"/>
      <c r="I712"/>
      <c r="J712"/>
      <c r="K712"/>
      <c r="L712"/>
      <c r="M712"/>
      <c r="N712"/>
      <c r="O712"/>
      <c r="P712"/>
      <c r="Q712"/>
      <c r="R712"/>
      <c r="S712"/>
      <c r="T712"/>
      <c r="U712"/>
      <c r="V712"/>
      <c r="W712"/>
      <c r="X712"/>
      <c r="Y712"/>
      <c r="Z712"/>
      <c r="AA712"/>
      <c r="AB712"/>
      <c r="AC712"/>
      <c r="AD712"/>
      <c r="AE712"/>
      <c r="AF712"/>
      <c r="AG712"/>
      <c r="AH712"/>
      <c r="AI712"/>
      <c r="AJ712"/>
      <c r="AK712"/>
      <c r="AL712"/>
      <c r="AM712"/>
      <c r="AN712"/>
      <c r="AO712"/>
      <c r="AP712"/>
      <c r="AQ712"/>
      <c r="AR712"/>
      <c r="AS712"/>
      <c r="AT712"/>
      <c r="AU712"/>
      <c r="AV712"/>
      <c r="AW712"/>
      <c r="AX712"/>
      <c r="AY712"/>
      <c r="AZ712"/>
      <c r="BA712"/>
      <c r="BB712"/>
      <c r="BC712"/>
      <c r="BD712"/>
      <c r="BE712"/>
      <c r="BF712"/>
      <c r="BG712"/>
      <c r="BH712"/>
      <c r="BI712"/>
      <c r="BJ712"/>
      <c r="BK712"/>
      <c r="BL712"/>
      <c r="BM712"/>
      <c r="BN712"/>
      <c r="BO712"/>
      <c r="BP712"/>
      <c r="BQ712"/>
      <c r="BR712"/>
      <c r="BS712"/>
      <c r="BT712"/>
      <c r="BU712"/>
      <c r="BV712"/>
      <c r="BW712"/>
      <c r="BX712"/>
      <c r="BY712"/>
      <c r="BZ712"/>
    </row>
    <row r="713" spans="4:78" x14ac:dyDescent="0.25">
      <c r="D713"/>
      <c r="E713"/>
      <c r="F713"/>
      <c r="G713"/>
      <c r="H713"/>
      <c r="I713"/>
      <c r="J713"/>
      <c r="K713"/>
      <c r="L713"/>
      <c r="M713"/>
      <c r="N713"/>
      <c r="O713"/>
      <c r="P713"/>
      <c r="Q713"/>
      <c r="R713"/>
      <c r="S713"/>
      <c r="T713"/>
      <c r="U713"/>
      <c r="V713"/>
      <c r="W713"/>
      <c r="X713"/>
      <c r="Y713"/>
      <c r="Z713"/>
      <c r="AA713"/>
      <c r="AB713"/>
      <c r="AC713"/>
      <c r="AD713"/>
      <c r="AE713"/>
      <c r="AF713"/>
      <c r="AG713"/>
      <c r="AH713"/>
      <c r="AI713"/>
      <c r="AJ713"/>
      <c r="AK713"/>
      <c r="AL713"/>
      <c r="AM713"/>
      <c r="AN713"/>
      <c r="AO713"/>
      <c r="AP713"/>
      <c r="AQ713"/>
      <c r="AR713"/>
      <c r="AS713"/>
      <c r="AT713"/>
      <c r="AU713"/>
      <c r="AV713"/>
      <c r="AW713"/>
      <c r="AX713"/>
      <c r="AY713"/>
      <c r="AZ713"/>
      <c r="BA713"/>
      <c r="BB713"/>
      <c r="BC713"/>
      <c r="BD713"/>
      <c r="BE713"/>
      <c r="BF713"/>
      <c r="BG713"/>
      <c r="BH713"/>
      <c r="BI713"/>
      <c r="BJ713"/>
      <c r="BK713"/>
      <c r="BL713"/>
      <c r="BM713"/>
      <c r="BN713"/>
      <c r="BO713"/>
      <c r="BP713"/>
      <c r="BQ713"/>
      <c r="BR713"/>
      <c r="BS713"/>
      <c r="BT713"/>
      <c r="BU713"/>
      <c r="BV713"/>
      <c r="BW713"/>
      <c r="BX713"/>
      <c r="BY713"/>
      <c r="BZ713"/>
    </row>
    <row r="714" spans="4:78" x14ac:dyDescent="0.25">
      <c r="D714"/>
      <c r="E714"/>
      <c r="F714"/>
      <c r="G714"/>
      <c r="H714"/>
      <c r="I714"/>
      <c r="J714"/>
      <c r="K714"/>
      <c r="L714"/>
      <c r="M714"/>
      <c r="N714"/>
      <c r="O714"/>
      <c r="P714"/>
      <c r="Q714"/>
      <c r="R714"/>
      <c r="S714"/>
      <c r="T714"/>
      <c r="U714"/>
      <c r="V714"/>
      <c r="W714"/>
      <c r="X714"/>
      <c r="Y714"/>
      <c r="Z714"/>
      <c r="AA714"/>
      <c r="AB714"/>
      <c r="AC714"/>
      <c r="AD714"/>
      <c r="AE714"/>
      <c r="AF714"/>
      <c r="AG714"/>
      <c r="AH714"/>
      <c r="AI714"/>
      <c r="AJ714"/>
      <c r="AK714"/>
      <c r="AL714"/>
      <c r="AM714"/>
      <c r="AN714"/>
      <c r="AO714"/>
      <c r="AP714"/>
      <c r="AQ714"/>
      <c r="AR714"/>
      <c r="AS714"/>
      <c r="AT714"/>
      <c r="AU714"/>
      <c r="AV714"/>
      <c r="AW714"/>
      <c r="AX714"/>
      <c r="AY714"/>
      <c r="AZ714"/>
      <c r="BA714"/>
      <c r="BB714"/>
      <c r="BC714"/>
      <c r="BD714"/>
      <c r="BE714"/>
      <c r="BF714"/>
      <c r="BG714"/>
      <c r="BH714"/>
      <c r="BI714"/>
      <c r="BJ714"/>
      <c r="BK714"/>
      <c r="BL714"/>
      <c r="BM714"/>
      <c r="BN714"/>
      <c r="BO714"/>
      <c r="BP714"/>
      <c r="BQ714"/>
      <c r="BR714"/>
      <c r="BS714"/>
      <c r="BT714"/>
      <c r="BU714"/>
      <c r="BV714"/>
      <c r="BW714"/>
      <c r="BX714"/>
      <c r="BY714"/>
      <c r="BZ714"/>
    </row>
    <row r="715" spans="4:78" x14ac:dyDescent="0.25">
      <c r="D715"/>
      <c r="E715"/>
      <c r="F715"/>
      <c r="G715"/>
      <c r="H715"/>
      <c r="I715"/>
      <c r="J715"/>
      <c r="K715"/>
      <c r="L715"/>
      <c r="M715"/>
      <c r="N715"/>
      <c r="O715"/>
      <c r="P715"/>
      <c r="Q715"/>
      <c r="R715"/>
      <c r="S715"/>
      <c r="T715"/>
      <c r="U715"/>
      <c r="V715"/>
      <c r="W715"/>
      <c r="X715"/>
      <c r="Y715"/>
      <c r="Z715"/>
      <c r="AA715"/>
      <c r="AB715"/>
      <c r="AC715"/>
      <c r="AD715"/>
      <c r="AE715"/>
      <c r="AF715"/>
      <c r="AG715"/>
      <c r="AH715"/>
      <c r="AI715"/>
      <c r="AJ715"/>
      <c r="AK715"/>
      <c r="AL715"/>
      <c r="AM715"/>
      <c r="AN715"/>
      <c r="AO715"/>
      <c r="AP715"/>
      <c r="AQ715"/>
      <c r="AR715"/>
      <c r="AS715"/>
      <c r="AT715"/>
      <c r="AU715"/>
      <c r="AV715"/>
      <c r="AW715"/>
      <c r="AX715"/>
      <c r="AY715"/>
      <c r="AZ715"/>
      <c r="BA715"/>
      <c r="BB715"/>
      <c r="BC715"/>
      <c r="BD715"/>
      <c r="BE715"/>
      <c r="BF715"/>
      <c r="BG715"/>
      <c r="BH715"/>
      <c r="BI715"/>
      <c r="BJ715"/>
      <c r="BK715"/>
      <c r="BL715"/>
      <c r="BM715"/>
      <c r="BN715"/>
      <c r="BO715"/>
      <c r="BP715"/>
      <c r="BQ715"/>
      <c r="BR715"/>
      <c r="BS715"/>
      <c r="BT715"/>
      <c r="BU715"/>
      <c r="BV715"/>
      <c r="BW715"/>
      <c r="BX715"/>
      <c r="BY715"/>
      <c r="BZ715"/>
    </row>
    <row r="716" spans="4:78" x14ac:dyDescent="0.25">
      <c r="D716"/>
      <c r="E716"/>
      <c r="F716"/>
      <c r="G716"/>
      <c r="H716"/>
      <c r="I716"/>
      <c r="J716"/>
      <c r="K716"/>
      <c r="L716"/>
      <c r="M716"/>
      <c r="N716"/>
      <c r="O716"/>
      <c r="P716"/>
      <c r="Q716"/>
      <c r="R716"/>
      <c r="S716"/>
      <c r="T716"/>
      <c r="U716"/>
      <c r="V716"/>
      <c r="W716"/>
      <c r="X716"/>
      <c r="Y716"/>
      <c r="Z716"/>
      <c r="AA716"/>
      <c r="AB716"/>
      <c r="AC716"/>
      <c r="AD716"/>
      <c r="AE716"/>
      <c r="AF716"/>
      <c r="AG716"/>
      <c r="AH716"/>
      <c r="AI716"/>
      <c r="AJ716"/>
      <c r="AK716"/>
      <c r="AL716"/>
      <c r="AM716"/>
      <c r="AN716"/>
      <c r="AO716"/>
      <c r="AP716"/>
      <c r="AQ716"/>
      <c r="AR716"/>
      <c r="AS716"/>
      <c r="AT716"/>
      <c r="AU716"/>
      <c r="AV716"/>
      <c r="AW716"/>
      <c r="AX716"/>
      <c r="AY716"/>
      <c r="AZ716"/>
      <c r="BA716"/>
      <c r="BB716"/>
      <c r="BC716"/>
      <c r="BD716"/>
      <c r="BE716"/>
      <c r="BF716"/>
      <c r="BG716"/>
      <c r="BH716"/>
      <c r="BI716"/>
      <c r="BJ716"/>
      <c r="BK716"/>
      <c r="BL716"/>
      <c r="BM716"/>
      <c r="BN716"/>
      <c r="BO716"/>
      <c r="BP716"/>
      <c r="BQ716"/>
      <c r="BR716"/>
      <c r="BS716"/>
      <c r="BT716"/>
      <c r="BU716"/>
      <c r="BV716"/>
      <c r="BW716"/>
      <c r="BX716"/>
      <c r="BY716"/>
      <c r="BZ716"/>
    </row>
    <row r="717" spans="4:78" x14ac:dyDescent="0.25">
      <c r="D717"/>
      <c r="E717"/>
      <c r="F717"/>
      <c r="G717"/>
      <c r="H717"/>
      <c r="I717"/>
      <c r="J717"/>
      <c r="K717"/>
      <c r="L717"/>
      <c r="M717"/>
      <c r="N717"/>
      <c r="O717"/>
      <c r="P717"/>
      <c r="Q717"/>
      <c r="R717"/>
      <c r="S717"/>
      <c r="T717"/>
      <c r="U717"/>
      <c r="V717"/>
      <c r="W717"/>
      <c r="X717"/>
      <c r="Y717"/>
      <c r="Z717"/>
      <c r="AA717"/>
      <c r="AB717"/>
      <c r="AC717"/>
      <c r="AD717"/>
      <c r="AE717"/>
      <c r="AF717"/>
      <c r="AG717"/>
      <c r="AH717"/>
      <c r="AI717"/>
      <c r="AJ717"/>
      <c r="AK717"/>
      <c r="AL717"/>
      <c r="AM717"/>
      <c r="AN717"/>
      <c r="AO717"/>
      <c r="AP717"/>
      <c r="AQ717"/>
      <c r="AR717"/>
      <c r="AS717"/>
      <c r="AT717"/>
      <c r="AU717"/>
      <c r="AV717"/>
      <c r="AW717"/>
      <c r="AX717"/>
      <c r="AY717"/>
      <c r="AZ717"/>
      <c r="BA717"/>
      <c r="BB717"/>
      <c r="BC717"/>
      <c r="BD717"/>
      <c r="BE717"/>
      <c r="BF717"/>
      <c r="BG717"/>
      <c r="BH717"/>
      <c r="BI717"/>
      <c r="BJ717"/>
      <c r="BK717"/>
      <c r="BL717"/>
      <c r="BM717"/>
      <c r="BN717"/>
      <c r="BO717"/>
      <c r="BP717"/>
      <c r="BQ717"/>
      <c r="BR717"/>
      <c r="BS717"/>
      <c r="BT717"/>
      <c r="BU717"/>
      <c r="BV717"/>
      <c r="BW717"/>
      <c r="BX717"/>
      <c r="BY717"/>
      <c r="BZ717"/>
    </row>
    <row r="718" spans="4:78" x14ac:dyDescent="0.25">
      <c r="D718"/>
      <c r="E718"/>
      <c r="F718"/>
      <c r="G718"/>
      <c r="H718"/>
      <c r="I718"/>
      <c r="J718"/>
      <c r="K718"/>
      <c r="L718"/>
      <c r="M718"/>
      <c r="N718"/>
      <c r="O718"/>
      <c r="P718"/>
      <c r="Q718"/>
      <c r="R718"/>
      <c r="S718"/>
      <c r="T718"/>
      <c r="U718"/>
      <c r="V718"/>
      <c r="W718"/>
      <c r="X718"/>
      <c r="Y718"/>
      <c r="Z718"/>
      <c r="AA718"/>
      <c r="AB718"/>
      <c r="AC718"/>
      <c r="AD718"/>
      <c r="AE718"/>
      <c r="AF718"/>
      <c r="AG718"/>
      <c r="AH718"/>
      <c r="AI718"/>
      <c r="AJ718"/>
      <c r="AK718"/>
      <c r="AL718"/>
      <c r="AM718"/>
      <c r="AN718"/>
      <c r="AO718"/>
      <c r="AP718"/>
      <c r="AQ718"/>
      <c r="AR718"/>
      <c r="AS718"/>
      <c r="AT718"/>
      <c r="AU718"/>
      <c r="AV718"/>
      <c r="AW718"/>
      <c r="AX718"/>
      <c r="AY718"/>
      <c r="AZ718"/>
      <c r="BA718"/>
      <c r="BB718"/>
      <c r="BC718"/>
      <c r="BD718"/>
      <c r="BE718"/>
      <c r="BF718"/>
      <c r="BG718"/>
      <c r="BH718"/>
      <c r="BI718"/>
      <c r="BJ718"/>
      <c r="BK718"/>
      <c r="BL718"/>
      <c r="BM718"/>
      <c r="BN718"/>
      <c r="BO718"/>
      <c r="BP718"/>
      <c r="BQ718"/>
      <c r="BR718"/>
      <c r="BS718"/>
      <c r="BT718"/>
      <c r="BU718"/>
      <c r="BV718"/>
      <c r="BW718"/>
      <c r="BX718"/>
      <c r="BY718"/>
      <c r="BZ718"/>
    </row>
    <row r="719" spans="4:78" x14ac:dyDescent="0.25">
      <c r="D719"/>
      <c r="E719"/>
      <c r="F719"/>
      <c r="G719"/>
      <c r="H719"/>
      <c r="I719"/>
      <c r="J719"/>
      <c r="K719"/>
      <c r="L719"/>
      <c r="M719"/>
      <c r="N719"/>
      <c r="O719"/>
      <c r="P719"/>
      <c r="Q719"/>
      <c r="R719"/>
      <c r="S719"/>
      <c r="T719"/>
      <c r="U719"/>
      <c r="V719"/>
      <c r="W719"/>
      <c r="X719"/>
      <c r="Y719"/>
      <c r="Z719"/>
      <c r="AA719"/>
      <c r="AB719"/>
      <c r="AC719"/>
      <c r="AD719"/>
      <c r="AE719"/>
      <c r="AF719"/>
      <c r="AG719"/>
      <c r="AH719"/>
      <c r="AI719"/>
      <c r="AJ719"/>
      <c r="AK719"/>
      <c r="AL719"/>
      <c r="AM719"/>
      <c r="AN719"/>
      <c r="AO719"/>
      <c r="AP719"/>
      <c r="AQ719"/>
      <c r="AR719"/>
      <c r="AS719"/>
      <c r="AT719"/>
      <c r="AU719"/>
      <c r="AV719"/>
      <c r="AW719"/>
      <c r="AX719"/>
      <c r="AY719"/>
      <c r="AZ719"/>
      <c r="BA719"/>
      <c r="BB719"/>
      <c r="BC719"/>
      <c r="BD719"/>
      <c r="BE719"/>
      <c r="BF719"/>
      <c r="BG719"/>
      <c r="BH719"/>
      <c r="BI719"/>
      <c r="BJ719"/>
      <c r="BK719"/>
      <c r="BL719"/>
      <c r="BM719"/>
      <c r="BN719"/>
      <c r="BO719"/>
      <c r="BP719"/>
      <c r="BQ719"/>
      <c r="BR719"/>
      <c r="BS719"/>
      <c r="BT719"/>
      <c r="BU719"/>
      <c r="BV719"/>
      <c r="BW719"/>
      <c r="BX719"/>
      <c r="BY719"/>
      <c r="BZ719"/>
    </row>
    <row r="720" spans="4:78" x14ac:dyDescent="0.25">
      <c r="D720"/>
      <c r="E720"/>
      <c r="F720"/>
      <c r="G720"/>
      <c r="H720"/>
      <c r="I720"/>
      <c r="J720"/>
      <c r="K720"/>
      <c r="L720"/>
      <c r="M720"/>
      <c r="N720"/>
      <c r="O720"/>
      <c r="P720"/>
      <c r="Q720"/>
      <c r="R720"/>
      <c r="S720"/>
      <c r="T720"/>
      <c r="U720"/>
      <c r="V720"/>
      <c r="W720"/>
      <c r="X720"/>
      <c r="Y720"/>
      <c r="Z720"/>
      <c r="AA720"/>
      <c r="AB720"/>
      <c r="AC720"/>
      <c r="AD720"/>
      <c r="AE720"/>
      <c r="AF720"/>
      <c r="AG720"/>
      <c r="AH720"/>
      <c r="AI720"/>
      <c r="AJ720"/>
      <c r="AK720"/>
      <c r="AL720"/>
      <c r="AM720"/>
      <c r="AN720"/>
      <c r="AO720"/>
      <c r="AP720"/>
      <c r="AQ720"/>
      <c r="AR720"/>
      <c r="AS720"/>
      <c r="AT720"/>
      <c r="AU720"/>
      <c r="AV720"/>
      <c r="AW720"/>
      <c r="AX720"/>
      <c r="AY720"/>
      <c r="AZ720"/>
      <c r="BA720"/>
      <c r="BB720"/>
      <c r="BC720"/>
      <c r="BD720"/>
      <c r="BE720"/>
      <c r="BF720"/>
      <c r="BG720"/>
      <c r="BH720"/>
      <c r="BI720"/>
      <c r="BJ720"/>
      <c r="BK720"/>
      <c r="BL720"/>
      <c r="BM720"/>
      <c r="BN720"/>
      <c r="BO720"/>
      <c r="BP720"/>
      <c r="BQ720"/>
      <c r="BR720"/>
      <c r="BS720"/>
      <c r="BT720"/>
      <c r="BU720"/>
      <c r="BV720"/>
      <c r="BW720"/>
      <c r="BX720"/>
      <c r="BY720"/>
      <c r="BZ720"/>
    </row>
    <row r="721" spans="4:78" x14ac:dyDescent="0.25">
      <c r="D721"/>
      <c r="E721"/>
      <c r="F721"/>
      <c r="G721"/>
      <c r="H721"/>
      <c r="I721"/>
      <c r="J721"/>
      <c r="K721"/>
      <c r="L721"/>
      <c r="M721"/>
      <c r="N721"/>
      <c r="O721"/>
      <c r="P721"/>
      <c r="Q721"/>
      <c r="R721"/>
      <c r="S721"/>
      <c r="T721"/>
      <c r="U721"/>
      <c r="V721"/>
      <c r="W721"/>
      <c r="X721"/>
      <c r="Y721"/>
      <c r="Z721"/>
      <c r="AA721"/>
      <c r="AB721"/>
      <c r="AC721"/>
      <c r="AD721"/>
      <c r="AE721"/>
      <c r="AF721"/>
      <c r="AG721"/>
      <c r="AH721"/>
      <c r="AI721"/>
      <c r="AJ721"/>
      <c r="AK721"/>
      <c r="AL721"/>
      <c r="AM721"/>
      <c r="AN721"/>
      <c r="AO721"/>
      <c r="AP721"/>
      <c r="AQ721"/>
      <c r="AR721"/>
      <c r="AS721"/>
      <c r="AT721"/>
      <c r="AU721"/>
      <c r="AV721"/>
      <c r="AW721"/>
      <c r="AX721"/>
      <c r="AY721"/>
      <c r="AZ721"/>
      <c r="BA721"/>
      <c r="BB721"/>
      <c r="BC721"/>
      <c r="BD721"/>
      <c r="BE721"/>
      <c r="BF721"/>
      <c r="BG721"/>
      <c r="BH721"/>
      <c r="BI721"/>
      <c r="BJ721"/>
      <c r="BK721"/>
      <c r="BL721"/>
      <c r="BM721"/>
      <c r="BN721"/>
      <c r="BO721"/>
      <c r="BP721"/>
      <c r="BQ721"/>
      <c r="BR721"/>
      <c r="BS721"/>
      <c r="BT721"/>
      <c r="BU721"/>
      <c r="BV721"/>
      <c r="BW721"/>
      <c r="BX721"/>
      <c r="BY721"/>
      <c r="BZ721"/>
    </row>
    <row r="722" spans="4:78" x14ac:dyDescent="0.25">
      <c r="D722"/>
      <c r="E722"/>
      <c r="F722"/>
      <c r="G722"/>
      <c r="H722"/>
      <c r="I722"/>
      <c r="J722"/>
      <c r="K722"/>
      <c r="L722"/>
      <c r="M722"/>
      <c r="N722"/>
      <c r="O722"/>
      <c r="P722"/>
      <c r="Q722"/>
      <c r="R722"/>
      <c r="S722"/>
      <c r="T722"/>
      <c r="U722"/>
      <c r="V722"/>
      <c r="W722"/>
      <c r="X722"/>
      <c r="Y722"/>
      <c r="Z722"/>
      <c r="AA722"/>
      <c r="AB722"/>
      <c r="AC722"/>
      <c r="AD722"/>
      <c r="AE722"/>
      <c r="AF722"/>
      <c r="AG722"/>
      <c r="AH722"/>
      <c r="AI722"/>
      <c r="AJ722"/>
      <c r="AK722"/>
      <c r="AL722"/>
      <c r="AM722"/>
      <c r="AN722"/>
      <c r="AO722"/>
      <c r="AP722"/>
      <c r="AQ722"/>
      <c r="AR722"/>
      <c r="AS722"/>
      <c r="AT722"/>
      <c r="AU722"/>
      <c r="AV722"/>
      <c r="AW722"/>
      <c r="AX722"/>
      <c r="AY722"/>
      <c r="AZ722"/>
      <c r="BA722"/>
      <c r="BB722"/>
      <c r="BC722"/>
      <c r="BD722"/>
      <c r="BE722"/>
      <c r="BF722"/>
      <c r="BG722"/>
      <c r="BH722"/>
      <c r="BI722"/>
      <c r="BJ722"/>
      <c r="BK722"/>
      <c r="BL722"/>
      <c r="BM722"/>
      <c r="BN722"/>
      <c r="BO722"/>
      <c r="BP722"/>
      <c r="BQ722"/>
      <c r="BR722"/>
      <c r="BS722"/>
      <c r="BT722"/>
      <c r="BU722"/>
      <c r="BV722"/>
      <c r="BW722"/>
      <c r="BX722"/>
      <c r="BY722"/>
      <c r="BZ722"/>
    </row>
    <row r="723" spans="4:78" x14ac:dyDescent="0.25">
      <c r="D723"/>
      <c r="E723"/>
      <c r="F723"/>
      <c r="G723"/>
      <c r="H723"/>
      <c r="I723"/>
      <c r="J723"/>
      <c r="K723"/>
      <c r="L723"/>
      <c r="M723"/>
      <c r="N723"/>
      <c r="O723"/>
      <c r="P723"/>
      <c r="Q723"/>
      <c r="R723"/>
      <c r="S723"/>
      <c r="T723"/>
      <c r="U723"/>
      <c r="V723"/>
      <c r="W723"/>
      <c r="X723"/>
      <c r="Y723"/>
      <c r="Z723"/>
      <c r="AA723"/>
      <c r="AB723"/>
      <c r="AC723"/>
      <c r="AD723"/>
      <c r="AE723"/>
      <c r="AF723"/>
      <c r="AG723"/>
      <c r="AH723"/>
      <c r="AI723"/>
      <c r="AJ723"/>
      <c r="AK723"/>
      <c r="AL723"/>
      <c r="AM723"/>
      <c r="AN723"/>
      <c r="AO723"/>
      <c r="AP723"/>
      <c r="AQ723"/>
      <c r="AR723"/>
      <c r="AS723"/>
      <c r="AT723"/>
      <c r="AU723"/>
      <c r="AV723"/>
      <c r="AW723"/>
      <c r="AX723"/>
      <c r="AY723"/>
      <c r="AZ723"/>
      <c r="BA723"/>
      <c r="BB723"/>
      <c r="BC723"/>
      <c r="BD723"/>
      <c r="BE723"/>
      <c r="BF723"/>
      <c r="BG723"/>
      <c r="BH723"/>
      <c r="BI723"/>
      <c r="BJ723"/>
      <c r="BK723"/>
      <c r="BL723"/>
      <c r="BM723"/>
      <c r="BN723"/>
      <c r="BO723"/>
      <c r="BP723"/>
      <c r="BQ723"/>
      <c r="BR723"/>
      <c r="BS723"/>
      <c r="BT723"/>
      <c r="BU723"/>
      <c r="BV723"/>
      <c r="BW723"/>
      <c r="BX723"/>
      <c r="BY723"/>
      <c r="BZ723"/>
    </row>
    <row r="724" spans="4:78" x14ac:dyDescent="0.25">
      <c r="D724"/>
      <c r="E724"/>
      <c r="F724"/>
      <c r="G724"/>
      <c r="H724"/>
      <c r="I724"/>
      <c r="J724"/>
      <c r="K724"/>
      <c r="L724"/>
      <c r="M724"/>
      <c r="N724"/>
      <c r="O724"/>
      <c r="P724"/>
      <c r="Q724"/>
      <c r="R724"/>
      <c r="S724"/>
      <c r="T724"/>
      <c r="U724"/>
      <c r="V724"/>
      <c r="W724"/>
      <c r="X724"/>
      <c r="Y724"/>
      <c r="Z724"/>
      <c r="AA724"/>
      <c r="AB724"/>
      <c r="AC724"/>
      <c r="AD724"/>
      <c r="AE724"/>
      <c r="AF724"/>
      <c r="AG724"/>
      <c r="AH724"/>
      <c r="AI724"/>
      <c r="AJ724"/>
      <c r="AK724"/>
      <c r="AL724"/>
      <c r="AM724"/>
      <c r="AN724"/>
      <c r="AO724"/>
      <c r="AP724"/>
      <c r="AQ724"/>
      <c r="AR724"/>
      <c r="AS724"/>
      <c r="AT724"/>
      <c r="AU724"/>
      <c r="AV724"/>
      <c r="AW724"/>
      <c r="AX724"/>
      <c r="AY724"/>
      <c r="AZ724"/>
      <c r="BA724"/>
      <c r="BB724"/>
      <c r="BC724"/>
      <c r="BD724"/>
      <c r="BE724"/>
      <c r="BF724"/>
      <c r="BG724"/>
      <c r="BH724"/>
      <c r="BI724"/>
      <c r="BJ724"/>
      <c r="BK724"/>
      <c r="BL724"/>
      <c r="BM724"/>
      <c r="BN724"/>
      <c r="BO724"/>
      <c r="BP724"/>
      <c r="BQ724"/>
      <c r="BR724"/>
      <c r="BS724"/>
      <c r="BT724"/>
      <c r="BU724"/>
      <c r="BV724"/>
      <c r="BW724"/>
      <c r="BX724"/>
      <c r="BY724"/>
      <c r="BZ724"/>
    </row>
    <row r="725" spans="4:78" x14ac:dyDescent="0.25">
      <c r="D725"/>
      <c r="E725"/>
      <c r="F725"/>
      <c r="G725"/>
      <c r="H725"/>
      <c r="I725"/>
      <c r="J725"/>
      <c r="K725"/>
      <c r="L725"/>
      <c r="M725"/>
      <c r="N725"/>
      <c r="O725"/>
      <c r="P725"/>
      <c r="Q725"/>
      <c r="R725"/>
      <c r="S725"/>
      <c r="T725"/>
      <c r="U725"/>
      <c r="V725"/>
      <c r="W725"/>
      <c r="X725"/>
      <c r="Y725"/>
      <c r="Z725"/>
      <c r="AA725"/>
      <c r="AB725"/>
      <c r="AC725"/>
      <c r="AD725"/>
      <c r="AE725"/>
      <c r="AF725"/>
      <c r="AG725"/>
      <c r="AH725"/>
      <c r="AI725"/>
      <c r="AJ725"/>
      <c r="AK725"/>
      <c r="AL725"/>
      <c r="AM725"/>
      <c r="AN725"/>
      <c r="AO725"/>
      <c r="AP725"/>
      <c r="AQ725"/>
      <c r="AR725"/>
      <c r="AS725"/>
      <c r="AT725"/>
      <c r="AU725"/>
      <c r="AV725"/>
      <c r="AW725"/>
      <c r="AX725"/>
      <c r="AY725"/>
      <c r="AZ725"/>
      <c r="BA725"/>
      <c r="BB725"/>
      <c r="BC725"/>
      <c r="BD725"/>
      <c r="BE725"/>
      <c r="BF725"/>
      <c r="BG725"/>
      <c r="BH725"/>
      <c r="BI725"/>
      <c r="BJ725"/>
      <c r="BK725"/>
      <c r="BL725"/>
      <c r="BM725"/>
      <c r="BN725"/>
      <c r="BO725"/>
      <c r="BP725"/>
      <c r="BQ725"/>
      <c r="BR725"/>
      <c r="BS725"/>
      <c r="BT725"/>
      <c r="BU725"/>
      <c r="BV725"/>
      <c r="BW725"/>
      <c r="BX725"/>
      <c r="BY725"/>
      <c r="BZ725"/>
    </row>
    <row r="726" spans="4:78" x14ac:dyDescent="0.25">
      <c r="D726"/>
      <c r="E726"/>
      <c r="F726"/>
      <c r="G726"/>
      <c r="H726"/>
      <c r="I726"/>
      <c r="J726"/>
      <c r="K726"/>
      <c r="L726"/>
      <c r="M726"/>
      <c r="N726"/>
      <c r="O726"/>
      <c r="P726"/>
      <c r="Q726"/>
      <c r="R726"/>
      <c r="S726"/>
      <c r="T726"/>
      <c r="U726"/>
      <c r="V726"/>
      <c r="W726"/>
      <c r="X726"/>
      <c r="Y726"/>
      <c r="Z726"/>
      <c r="AA726"/>
      <c r="AB726"/>
      <c r="AC726"/>
      <c r="AD726"/>
      <c r="AE726"/>
      <c r="AF726"/>
      <c r="AG726"/>
      <c r="AH726"/>
      <c r="AI726"/>
      <c r="AJ726"/>
      <c r="AK726"/>
      <c r="AL726"/>
      <c r="AM726"/>
      <c r="AN726"/>
      <c r="AO726"/>
      <c r="AP726"/>
      <c r="AQ726"/>
      <c r="AR726"/>
      <c r="AS726"/>
      <c r="AT726"/>
      <c r="AU726"/>
      <c r="AV726"/>
      <c r="AW726"/>
      <c r="AX726"/>
      <c r="AY726"/>
      <c r="AZ726"/>
      <c r="BA726"/>
      <c r="BB726"/>
      <c r="BC726"/>
      <c r="BD726"/>
      <c r="BE726"/>
      <c r="BF726"/>
      <c r="BG726"/>
      <c r="BH726"/>
      <c r="BI726"/>
      <c r="BJ726"/>
      <c r="BK726"/>
      <c r="BL726"/>
      <c r="BM726"/>
      <c r="BN726"/>
      <c r="BO726"/>
      <c r="BP726"/>
      <c r="BQ726"/>
      <c r="BR726"/>
      <c r="BS726"/>
      <c r="BT726"/>
      <c r="BU726"/>
      <c r="BV726"/>
      <c r="BW726"/>
      <c r="BX726"/>
      <c r="BY726"/>
      <c r="BZ726"/>
    </row>
    <row r="727" spans="4:78" x14ac:dyDescent="0.25">
      <c r="D727"/>
      <c r="E727"/>
      <c r="F727"/>
      <c r="G727"/>
      <c r="H727"/>
      <c r="I727"/>
      <c r="J727"/>
      <c r="K727"/>
      <c r="L727"/>
      <c r="M727"/>
      <c r="N727"/>
      <c r="O727"/>
      <c r="P727"/>
      <c r="Q727"/>
      <c r="R727"/>
      <c r="S727"/>
      <c r="T727"/>
      <c r="U727"/>
      <c r="V727"/>
      <c r="W727"/>
      <c r="X727"/>
      <c r="Y727"/>
      <c r="Z727"/>
      <c r="AA727"/>
      <c r="AB727"/>
      <c r="AC727"/>
      <c r="AD727"/>
      <c r="AE727"/>
      <c r="AF727"/>
      <c r="AG727"/>
      <c r="AH727"/>
      <c r="AI727"/>
      <c r="AJ727"/>
      <c r="AK727"/>
      <c r="AL727"/>
      <c r="AM727"/>
      <c r="AN727"/>
      <c r="AO727"/>
      <c r="AP727"/>
      <c r="AQ727"/>
      <c r="AR727"/>
      <c r="AS727"/>
      <c r="AT727"/>
      <c r="AU727"/>
      <c r="AV727"/>
      <c r="AW727"/>
      <c r="AX727"/>
      <c r="AY727"/>
      <c r="AZ727"/>
      <c r="BA727"/>
      <c r="BB727"/>
      <c r="BC727"/>
      <c r="BD727"/>
      <c r="BE727"/>
      <c r="BF727"/>
      <c r="BG727"/>
      <c r="BH727"/>
      <c r="BI727"/>
      <c r="BJ727"/>
      <c r="BK727"/>
      <c r="BL727"/>
      <c r="BM727"/>
      <c r="BN727"/>
      <c r="BO727"/>
      <c r="BP727"/>
      <c r="BQ727"/>
      <c r="BR727"/>
      <c r="BS727"/>
      <c r="BT727"/>
      <c r="BU727"/>
      <c r="BV727"/>
      <c r="BW727"/>
      <c r="BX727"/>
      <c r="BY727"/>
      <c r="BZ727"/>
    </row>
    <row r="728" spans="4:78" x14ac:dyDescent="0.25">
      <c r="D728"/>
      <c r="E728"/>
      <c r="F728"/>
      <c r="G728"/>
      <c r="H728"/>
      <c r="I728"/>
      <c r="J728"/>
      <c r="K728"/>
      <c r="L728"/>
      <c r="M728"/>
      <c r="N728"/>
      <c r="O728"/>
      <c r="P728"/>
      <c r="Q728"/>
      <c r="R728"/>
      <c r="S728"/>
      <c r="T728"/>
      <c r="U728"/>
      <c r="V728"/>
      <c r="W728"/>
      <c r="X728"/>
      <c r="Y728"/>
      <c r="Z728"/>
      <c r="AA728"/>
      <c r="AB728"/>
      <c r="AC728"/>
      <c r="AD728"/>
      <c r="AE728"/>
      <c r="AF728"/>
      <c r="AG728"/>
      <c r="AH728"/>
      <c r="AI728"/>
      <c r="AJ728"/>
      <c r="AK728"/>
      <c r="AL728"/>
      <c r="AM728"/>
      <c r="AN728"/>
      <c r="AO728"/>
      <c r="AP728"/>
      <c r="AQ728"/>
      <c r="AR728"/>
      <c r="AS728"/>
      <c r="AT728"/>
      <c r="AU728"/>
      <c r="AV728"/>
      <c r="AW728"/>
      <c r="AX728"/>
      <c r="AY728"/>
      <c r="AZ728"/>
      <c r="BA728"/>
      <c r="BB728"/>
      <c r="BC728"/>
      <c r="BD728"/>
      <c r="BE728"/>
      <c r="BF728"/>
      <c r="BG728"/>
      <c r="BH728"/>
      <c r="BI728"/>
      <c r="BJ728"/>
      <c r="BK728"/>
      <c r="BL728"/>
      <c r="BM728"/>
      <c r="BN728"/>
      <c r="BO728"/>
      <c r="BP728"/>
      <c r="BQ728"/>
      <c r="BR728"/>
      <c r="BS728"/>
      <c r="BT728"/>
      <c r="BU728"/>
      <c r="BV728"/>
      <c r="BW728"/>
      <c r="BX728"/>
      <c r="BY728"/>
      <c r="BZ728"/>
    </row>
    <row r="729" spans="4:78" x14ac:dyDescent="0.25">
      <c r="D729"/>
      <c r="E729"/>
      <c r="F729"/>
      <c r="G729"/>
      <c r="H729"/>
      <c r="I729"/>
      <c r="J729"/>
      <c r="K729"/>
      <c r="L729"/>
      <c r="M729"/>
      <c r="N729"/>
      <c r="O729"/>
      <c r="P729"/>
      <c r="Q729"/>
      <c r="R729"/>
      <c r="S729"/>
      <c r="T729"/>
      <c r="U729"/>
      <c r="V729"/>
      <c r="W729"/>
      <c r="X729"/>
      <c r="Y729"/>
      <c r="Z729"/>
      <c r="AA729"/>
      <c r="AB729"/>
      <c r="AC729"/>
      <c r="AD729"/>
      <c r="AE729"/>
      <c r="AF729"/>
      <c r="AG729"/>
      <c r="AH729"/>
      <c r="AI729"/>
      <c r="AJ729"/>
      <c r="AK729"/>
      <c r="AL729"/>
      <c r="AM729"/>
      <c r="AN729"/>
      <c r="AO729"/>
      <c r="AP729"/>
      <c r="AQ729"/>
      <c r="AR729"/>
      <c r="AS729"/>
      <c r="AT729"/>
      <c r="AU729"/>
      <c r="AV729"/>
      <c r="AW729"/>
      <c r="AX729"/>
      <c r="AY729"/>
      <c r="AZ729"/>
      <c r="BA729"/>
      <c r="BB729"/>
      <c r="BC729"/>
      <c r="BD729"/>
      <c r="BE729"/>
      <c r="BF729"/>
      <c r="BG729"/>
      <c r="BH729"/>
      <c r="BI729"/>
      <c r="BJ729"/>
      <c r="BK729"/>
      <c r="BL729"/>
      <c r="BM729"/>
      <c r="BN729"/>
      <c r="BO729"/>
      <c r="BP729"/>
      <c r="BQ729"/>
      <c r="BR729"/>
      <c r="BS729"/>
      <c r="BT729"/>
      <c r="BU729"/>
      <c r="BV729"/>
      <c r="BW729"/>
      <c r="BX729"/>
      <c r="BY729"/>
      <c r="BZ729"/>
    </row>
    <row r="730" spans="4:78" x14ac:dyDescent="0.25">
      <c r="D730"/>
      <c r="E730"/>
      <c r="F730"/>
      <c r="G730"/>
      <c r="H730"/>
      <c r="I730"/>
      <c r="J730"/>
      <c r="K730"/>
      <c r="L730"/>
      <c r="M730"/>
      <c r="N730"/>
      <c r="O730"/>
      <c r="P730"/>
      <c r="Q730"/>
      <c r="R730"/>
      <c r="S730"/>
      <c r="T730"/>
      <c r="U730"/>
      <c r="V730"/>
      <c r="W730"/>
      <c r="X730"/>
      <c r="Y730"/>
      <c r="Z730"/>
      <c r="AA730"/>
      <c r="AB730"/>
      <c r="AC730"/>
      <c r="AD730"/>
      <c r="AE730"/>
      <c r="AF730"/>
      <c r="AG730"/>
      <c r="AH730"/>
      <c r="AI730"/>
      <c r="AJ730"/>
      <c r="AK730"/>
      <c r="AL730"/>
      <c r="AM730"/>
      <c r="AN730"/>
      <c r="AO730"/>
      <c r="AP730"/>
      <c r="AQ730"/>
      <c r="AR730"/>
      <c r="AS730"/>
      <c r="AT730"/>
      <c r="AU730"/>
      <c r="AV730"/>
      <c r="AW730"/>
      <c r="AX730"/>
      <c r="AY730"/>
      <c r="AZ730"/>
      <c r="BA730"/>
      <c r="BB730"/>
      <c r="BC730"/>
      <c r="BD730"/>
      <c r="BE730"/>
      <c r="BF730"/>
      <c r="BG730"/>
      <c r="BH730"/>
      <c r="BI730"/>
      <c r="BJ730"/>
      <c r="BK730"/>
      <c r="BL730"/>
      <c r="BM730"/>
      <c r="BN730"/>
      <c r="BO730"/>
      <c r="BP730"/>
      <c r="BQ730"/>
      <c r="BR730"/>
      <c r="BS730"/>
      <c r="BT730"/>
      <c r="BU730"/>
      <c r="BV730"/>
      <c r="BW730"/>
      <c r="BX730"/>
      <c r="BY730"/>
      <c r="BZ730"/>
    </row>
    <row r="731" spans="4:78" x14ac:dyDescent="0.25">
      <c r="D731"/>
      <c r="E731"/>
      <c r="F731"/>
      <c r="G731"/>
      <c r="H731"/>
      <c r="I731"/>
      <c r="J731"/>
      <c r="K731"/>
      <c r="L731"/>
      <c r="M731"/>
      <c r="N731"/>
      <c r="O731"/>
      <c r="P731"/>
      <c r="Q731"/>
      <c r="R731"/>
      <c r="S731"/>
      <c r="T731"/>
      <c r="U731"/>
      <c r="V731"/>
      <c r="W731"/>
      <c r="X731"/>
      <c r="Y731"/>
      <c r="Z731"/>
      <c r="AA731"/>
      <c r="AB731"/>
      <c r="AC731"/>
      <c r="AD731"/>
      <c r="AE731"/>
      <c r="AF731"/>
      <c r="AG731"/>
      <c r="AH731"/>
      <c r="AI731"/>
      <c r="AJ731"/>
      <c r="AK731"/>
      <c r="AL731"/>
      <c r="AM731"/>
      <c r="AN731"/>
      <c r="AO731"/>
      <c r="AP731"/>
      <c r="AQ731"/>
      <c r="AR731"/>
      <c r="AS731"/>
      <c r="AT731"/>
      <c r="AU731"/>
      <c r="AV731"/>
      <c r="AW731"/>
      <c r="AX731"/>
      <c r="AY731"/>
      <c r="AZ731"/>
      <c r="BA731"/>
      <c r="BB731"/>
      <c r="BC731"/>
      <c r="BD731"/>
      <c r="BE731"/>
      <c r="BF731"/>
      <c r="BG731"/>
      <c r="BH731"/>
      <c r="BI731"/>
      <c r="BJ731"/>
      <c r="BK731"/>
      <c r="BL731"/>
      <c r="BM731"/>
      <c r="BN731"/>
      <c r="BO731"/>
      <c r="BP731"/>
      <c r="BQ731"/>
      <c r="BR731"/>
      <c r="BS731"/>
      <c r="BT731"/>
      <c r="BU731"/>
      <c r="BV731"/>
      <c r="BW731"/>
      <c r="BX731"/>
      <c r="BY731"/>
      <c r="BZ731"/>
    </row>
    <row r="732" spans="4:78" x14ac:dyDescent="0.25">
      <c r="D732"/>
      <c r="E732"/>
      <c r="F732"/>
      <c r="G732"/>
      <c r="H732"/>
      <c r="I732"/>
      <c r="J732"/>
      <c r="K732"/>
      <c r="L732"/>
      <c r="M732"/>
      <c r="N732"/>
      <c r="O732"/>
      <c r="P732"/>
      <c r="Q732"/>
      <c r="R732"/>
      <c r="S732"/>
      <c r="T732"/>
      <c r="U732"/>
      <c r="V732"/>
      <c r="W732"/>
      <c r="X732"/>
      <c r="Y732"/>
      <c r="Z732"/>
      <c r="AA732"/>
      <c r="AB732"/>
      <c r="AC732"/>
      <c r="AD732"/>
      <c r="AE732"/>
      <c r="AF732"/>
      <c r="AG732"/>
      <c r="AH732"/>
      <c r="AI732"/>
      <c r="AJ732"/>
      <c r="AK732"/>
      <c r="AL732"/>
      <c r="AM732"/>
      <c r="AN732"/>
      <c r="AO732"/>
      <c r="AP732"/>
      <c r="AQ732"/>
      <c r="AR732"/>
      <c r="AS732"/>
      <c r="AT732"/>
      <c r="AU732"/>
      <c r="AV732"/>
      <c r="AW732"/>
      <c r="AX732"/>
      <c r="AY732"/>
      <c r="AZ732"/>
      <c r="BA732"/>
      <c r="BB732"/>
      <c r="BC732"/>
      <c r="BD732"/>
      <c r="BE732"/>
      <c r="BF732"/>
      <c r="BG732"/>
      <c r="BH732"/>
      <c r="BI732"/>
      <c r="BJ732"/>
      <c r="BK732"/>
      <c r="BL732"/>
      <c r="BM732"/>
      <c r="BN732"/>
      <c r="BO732"/>
      <c r="BP732"/>
      <c r="BQ732"/>
      <c r="BR732"/>
      <c r="BS732"/>
      <c r="BT732"/>
      <c r="BU732"/>
      <c r="BV732"/>
      <c r="BW732"/>
      <c r="BX732"/>
      <c r="BY732"/>
      <c r="BZ732"/>
    </row>
    <row r="733" spans="4:78" x14ac:dyDescent="0.25">
      <c r="D733"/>
      <c r="E733"/>
      <c r="F733"/>
      <c r="G733"/>
      <c r="H733"/>
      <c r="I733"/>
      <c r="J733"/>
      <c r="K733"/>
      <c r="L733"/>
      <c r="M733"/>
      <c r="N733"/>
      <c r="O733"/>
      <c r="P733"/>
      <c r="Q733"/>
      <c r="R733"/>
      <c r="S733"/>
      <c r="T733"/>
      <c r="U733"/>
      <c r="V733"/>
      <c r="W733"/>
      <c r="X733"/>
      <c r="Y733"/>
      <c r="Z733"/>
      <c r="AA733"/>
      <c r="AB733"/>
      <c r="AC733"/>
      <c r="AD733"/>
      <c r="AE733"/>
      <c r="AF733"/>
      <c r="AG733"/>
      <c r="AH733"/>
      <c r="AI733"/>
      <c r="AJ733"/>
      <c r="AK733"/>
      <c r="AL733"/>
      <c r="AM733"/>
      <c r="AN733"/>
      <c r="AO733"/>
      <c r="AP733"/>
      <c r="AQ733"/>
      <c r="AR733"/>
      <c r="AS733"/>
      <c r="AT733"/>
      <c r="AU733"/>
      <c r="AV733"/>
      <c r="AW733"/>
      <c r="AX733"/>
      <c r="AY733"/>
      <c r="AZ733"/>
      <c r="BA733"/>
      <c r="BB733"/>
      <c r="BC733"/>
      <c r="BD733"/>
      <c r="BE733"/>
      <c r="BF733"/>
      <c r="BG733"/>
      <c r="BH733"/>
      <c r="BI733"/>
      <c r="BJ733"/>
      <c r="BK733"/>
      <c r="BL733"/>
      <c r="BM733"/>
      <c r="BN733"/>
      <c r="BO733"/>
      <c r="BP733"/>
      <c r="BQ733"/>
      <c r="BR733"/>
      <c r="BS733"/>
      <c r="BT733"/>
      <c r="BU733"/>
      <c r="BV733"/>
      <c r="BW733"/>
      <c r="BX733"/>
      <c r="BY733"/>
      <c r="BZ733"/>
    </row>
    <row r="734" spans="4:78" x14ac:dyDescent="0.25">
      <c r="D734"/>
      <c r="E734"/>
      <c r="F734"/>
      <c r="G734"/>
      <c r="H734"/>
      <c r="I734"/>
      <c r="J734"/>
      <c r="K734"/>
      <c r="L734"/>
      <c r="M734"/>
      <c r="N734"/>
      <c r="O734"/>
      <c r="P734"/>
      <c r="Q734"/>
      <c r="R734"/>
      <c r="S734"/>
      <c r="T734"/>
      <c r="U734"/>
      <c r="V734"/>
      <c r="W734"/>
      <c r="X734"/>
      <c r="Y734"/>
      <c r="Z734"/>
      <c r="AA734"/>
      <c r="AB734"/>
      <c r="AC734"/>
      <c r="AD734"/>
      <c r="AE734"/>
      <c r="AF734"/>
      <c r="AG734"/>
      <c r="AH734"/>
      <c r="AI734"/>
      <c r="AJ734"/>
      <c r="AK734"/>
      <c r="AL734"/>
      <c r="AM734"/>
      <c r="AN734"/>
      <c r="AO734"/>
      <c r="AP734"/>
      <c r="AQ734"/>
      <c r="AR734"/>
      <c r="AS734"/>
      <c r="AT734"/>
      <c r="AU734"/>
      <c r="AV734"/>
      <c r="AW734"/>
      <c r="AX734"/>
      <c r="AY734"/>
      <c r="AZ734"/>
      <c r="BA734"/>
      <c r="BB734"/>
      <c r="BC734"/>
      <c r="BD734"/>
      <c r="BE734"/>
      <c r="BF734"/>
      <c r="BG734"/>
      <c r="BH734"/>
      <c r="BI734"/>
      <c r="BJ734"/>
      <c r="BK734"/>
      <c r="BL734"/>
      <c r="BM734"/>
      <c r="BN734"/>
      <c r="BO734"/>
      <c r="BP734"/>
      <c r="BQ734"/>
      <c r="BR734"/>
      <c r="BS734"/>
      <c r="BT734"/>
      <c r="BU734"/>
      <c r="BV734"/>
      <c r="BW734"/>
      <c r="BX734"/>
      <c r="BY734"/>
      <c r="BZ734"/>
    </row>
    <row r="735" spans="4:78" x14ac:dyDescent="0.25">
      <c r="D735"/>
      <c r="E735"/>
      <c r="F735"/>
      <c r="G735"/>
      <c r="H735"/>
      <c r="I735"/>
      <c r="J735"/>
      <c r="K735"/>
      <c r="L735"/>
      <c r="M735"/>
      <c r="N735"/>
      <c r="O735"/>
      <c r="P735"/>
      <c r="Q735"/>
      <c r="R735"/>
      <c r="S735"/>
      <c r="T735"/>
      <c r="U735"/>
      <c r="V735"/>
      <c r="W735"/>
      <c r="X735"/>
      <c r="Y735"/>
      <c r="Z735"/>
      <c r="AA735"/>
      <c r="AB735"/>
      <c r="AC735"/>
      <c r="AD735"/>
      <c r="AE735"/>
      <c r="AF735"/>
      <c r="AG735"/>
      <c r="AH735"/>
      <c r="AI735"/>
      <c r="AJ735"/>
      <c r="AK735"/>
      <c r="AL735"/>
      <c r="AM735"/>
      <c r="AN735"/>
      <c r="AO735"/>
      <c r="AP735"/>
      <c r="AQ735"/>
      <c r="AR735"/>
      <c r="AS735"/>
      <c r="AT735"/>
      <c r="AU735"/>
      <c r="AV735"/>
      <c r="AW735"/>
      <c r="AX735"/>
      <c r="AY735"/>
      <c r="AZ735"/>
      <c r="BA735"/>
      <c r="BB735"/>
      <c r="BC735"/>
      <c r="BD735"/>
      <c r="BE735"/>
      <c r="BF735"/>
      <c r="BG735"/>
      <c r="BH735"/>
      <c r="BI735"/>
      <c r="BJ735"/>
      <c r="BK735"/>
      <c r="BL735"/>
      <c r="BM735"/>
      <c r="BN735"/>
      <c r="BO735"/>
      <c r="BP735"/>
      <c r="BQ735"/>
      <c r="BR735"/>
      <c r="BS735"/>
      <c r="BT735"/>
      <c r="BU735"/>
      <c r="BV735"/>
      <c r="BW735"/>
      <c r="BX735"/>
      <c r="BY735"/>
      <c r="BZ735"/>
    </row>
    <row r="736" spans="4:78" x14ac:dyDescent="0.25">
      <c r="D736"/>
      <c r="E736"/>
      <c r="F736"/>
      <c r="G736"/>
      <c r="H736"/>
      <c r="I736"/>
      <c r="J736"/>
      <c r="K736"/>
      <c r="L736"/>
      <c r="M736"/>
      <c r="N736"/>
      <c r="O736"/>
      <c r="P736"/>
      <c r="Q736"/>
      <c r="R736"/>
      <c r="S736"/>
      <c r="T736"/>
      <c r="U736"/>
      <c r="V736"/>
      <c r="W736"/>
      <c r="X736"/>
      <c r="Y736"/>
      <c r="Z736"/>
      <c r="AA736"/>
      <c r="AB736"/>
      <c r="AC736"/>
      <c r="AD736"/>
      <c r="AE736"/>
      <c r="AF736"/>
      <c r="AG736"/>
      <c r="AH736"/>
      <c r="AI736"/>
      <c r="AJ736"/>
      <c r="AK736"/>
      <c r="AL736"/>
      <c r="AM736"/>
      <c r="AN736"/>
      <c r="AO736"/>
      <c r="AP736"/>
      <c r="AQ736"/>
      <c r="AR736"/>
      <c r="AS736"/>
      <c r="AT736"/>
      <c r="AU736"/>
      <c r="AV736"/>
      <c r="AW736"/>
      <c r="AX736"/>
      <c r="AY736"/>
      <c r="AZ736"/>
      <c r="BA736"/>
      <c r="BB736"/>
      <c r="BC736"/>
      <c r="BD736"/>
      <c r="BE736"/>
      <c r="BF736"/>
      <c r="BG736"/>
      <c r="BH736"/>
      <c r="BI736"/>
      <c r="BJ736"/>
      <c r="BK736"/>
      <c r="BL736"/>
      <c r="BM736"/>
      <c r="BN736"/>
      <c r="BO736"/>
      <c r="BP736"/>
      <c r="BQ736"/>
      <c r="BR736"/>
      <c r="BS736"/>
      <c r="BT736"/>
      <c r="BU736"/>
      <c r="BV736"/>
      <c r="BW736"/>
      <c r="BX736"/>
      <c r="BY736"/>
      <c r="BZ736"/>
    </row>
    <row r="737" spans="4:78" x14ac:dyDescent="0.25">
      <c r="D737"/>
      <c r="E737"/>
      <c r="F737"/>
      <c r="G737"/>
      <c r="H737"/>
      <c r="I737"/>
      <c r="J737"/>
      <c r="K737"/>
      <c r="L737"/>
      <c r="M737"/>
      <c r="N737"/>
      <c r="O737"/>
      <c r="P737"/>
      <c r="Q737"/>
      <c r="R737"/>
      <c r="S737"/>
      <c r="T737"/>
      <c r="U737"/>
      <c r="V737"/>
      <c r="W737"/>
      <c r="X737"/>
      <c r="Y737"/>
      <c r="Z737"/>
      <c r="AA737"/>
      <c r="AB737"/>
      <c r="AC737"/>
      <c r="AD737"/>
      <c r="AE737"/>
      <c r="AF737"/>
      <c r="AG737"/>
      <c r="AH737"/>
      <c r="AI737"/>
      <c r="AJ737"/>
      <c r="AK737"/>
      <c r="AL737"/>
      <c r="AM737"/>
      <c r="AN737"/>
      <c r="AO737"/>
      <c r="AP737"/>
      <c r="AQ737"/>
      <c r="AR737"/>
      <c r="AS737"/>
      <c r="AT737"/>
      <c r="AU737"/>
      <c r="AV737"/>
      <c r="AW737"/>
      <c r="AX737"/>
      <c r="AY737"/>
      <c r="AZ737"/>
      <c r="BA737"/>
      <c r="BB737"/>
      <c r="BC737"/>
      <c r="BD737"/>
      <c r="BE737"/>
      <c r="BF737"/>
      <c r="BG737"/>
      <c r="BH737"/>
      <c r="BI737"/>
      <c r="BJ737"/>
      <c r="BK737"/>
      <c r="BL737"/>
      <c r="BM737"/>
      <c r="BN737"/>
      <c r="BO737"/>
      <c r="BP737"/>
      <c r="BQ737"/>
      <c r="BR737"/>
      <c r="BS737"/>
      <c r="BT737"/>
      <c r="BU737"/>
      <c r="BV737"/>
      <c r="BW737"/>
      <c r="BX737"/>
      <c r="BY737"/>
      <c r="BZ737"/>
    </row>
    <row r="738" spans="4:78" x14ac:dyDescent="0.25">
      <c r="D738"/>
      <c r="E738"/>
      <c r="F738"/>
      <c r="G738"/>
      <c r="H738"/>
      <c r="I738"/>
      <c r="J738"/>
      <c r="K738"/>
      <c r="L738"/>
      <c r="M738"/>
      <c r="N738"/>
      <c r="O738"/>
      <c r="P738"/>
      <c r="Q738"/>
      <c r="R738"/>
      <c r="S738"/>
      <c r="T738"/>
      <c r="U738"/>
      <c r="V738"/>
      <c r="W738"/>
      <c r="X738"/>
      <c r="Y738"/>
      <c r="Z738"/>
      <c r="AA738"/>
      <c r="AB738"/>
      <c r="AC738"/>
      <c r="AD738"/>
      <c r="AE738"/>
      <c r="AF738"/>
      <c r="AG738"/>
      <c r="AH738"/>
      <c r="AI738"/>
      <c r="AJ738"/>
      <c r="AK738"/>
      <c r="AL738"/>
      <c r="AM738"/>
      <c r="AN738"/>
      <c r="AO738"/>
      <c r="AP738"/>
      <c r="AQ738"/>
      <c r="AR738"/>
      <c r="AS738"/>
      <c r="AT738"/>
      <c r="AU738"/>
      <c r="AV738"/>
      <c r="AW738"/>
      <c r="AX738"/>
      <c r="AY738"/>
      <c r="AZ738"/>
      <c r="BA738"/>
      <c r="BB738"/>
      <c r="BC738"/>
      <c r="BD738"/>
      <c r="BE738"/>
      <c r="BF738"/>
      <c r="BG738"/>
      <c r="BH738"/>
      <c r="BI738"/>
      <c r="BJ738"/>
      <c r="BK738"/>
      <c r="BL738"/>
      <c r="BM738"/>
      <c r="BN738"/>
      <c r="BO738"/>
      <c r="BP738"/>
      <c r="BQ738"/>
      <c r="BR738"/>
      <c r="BS738"/>
      <c r="BT738"/>
      <c r="BU738"/>
      <c r="BV738"/>
      <c r="BW738"/>
      <c r="BX738"/>
      <c r="BY738"/>
      <c r="BZ738"/>
    </row>
    <row r="739" spans="4:78" x14ac:dyDescent="0.25">
      <c r="D739"/>
      <c r="E739"/>
      <c r="F739"/>
      <c r="G739"/>
      <c r="H739"/>
      <c r="I739"/>
      <c r="J739"/>
      <c r="K739"/>
      <c r="L739"/>
      <c r="M739"/>
      <c r="N739"/>
      <c r="O739"/>
      <c r="P739"/>
      <c r="Q739"/>
      <c r="R739"/>
      <c r="S739"/>
      <c r="T739"/>
      <c r="U739"/>
      <c r="V739"/>
      <c r="W739"/>
      <c r="X739"/>
      <c r="Y739"/>
      <c r="Z739"/>
      <c r="AA739"/>
      <c r="AB739"/>
      <c r="AC739"/>
      <c r="AD739"/>
      <c r="AE739"/>
      <c r="AF739"/>
      <c r="AG739"/>
      <c r="AH739"/>
      <c r="AI739"/>
      <c r="AJ739"/>
      <c r="AK739"/>
      <c r="AL739"/>
      <c r="AM739"/>
      <c r="AN739"/>
      <c r="AO739"/>
      <c r="AP739"/>
      <c r="AQ739"/>
      <c r="AR739"/>
      <c r="AS739"/>
      <c r="AT739"/>
      <c r="AU739"/>
      <c r="AV739"/>
      <c r="AW739"/>
      <c r="AX739"/>
      <c r="AY739"/>
      <c r="AZ739"/>
      <c r="BA739"/>
      <c r="BB739"/>
      <c r="BC739"/>
      <c r="BD739"/>
      <c r="BE739"/>
      <c r="BF739"/>
      <c r="BG739"/>
      <c r="BH739"/>
      <c r="BI739"/>
      <c r="BJ739"/>
      <c r="BK739"/>
      <c r="BL739"/>
      <c r="BM739"/>
      <c r="BN739"/>
      <c r="BO739"/>
      <c r="BP739"/>
      <c r="BQ739"/>
      <c r="BR739"/>
      <c r="BS739"/>
      <c r="BT739"/>
      <c r="BU739"/>
      <c r="BV739"/>
      <c r="BW739"/>
      <c r="BX739"/>
      <c r="BY739"/>
      <c r="BZ739"/>
    </row>
    <row r="740" spans="4:78" x14ac:dyDescent="0.25">
      <c r="D740"/>
      <c r="E740"/>
      <c r="F740"/>
      <c r="G740"/>
      <c r="H740"/>
      <c r="I740"/>
      <c r="J740"/>
      <c r="K740"/>
      <c r="L740"/>
      <c r="M740"/>
      <c r="N740"/>
      <c r="O740"/>
      <c r="P740"/>
      <c r="Q740"/>
      <c r="R740"/>
      <c r="S740"/>
      <c r="T740"/>
      <c r="U740"/>
      <c r="V740"/>
      <c r="W740"/>
      <c r="X740"/>
      <c r="Y740"/>
      <c r="Z740"/>
      <c r="AA740"/>
      <c r="AB740"/>
      <c r="AC740"/>
      <c r="AD740"/>
      <c r="AE740"/>
      <c r="AF740"/>
      <c r="AG740"/>
      <c r="AH740"/>
      <c r="AI740"/>
      <c r="AJ740"/>
      <c r="AK740"/>
      <c r="AL740"/>
      <c r="AM740"/>
      <c r="AN740"/>
      <c r="AO740"/>
      <c r="AP740"/>
      <c r="AQ740"/>
      <c r="AR740"/>
      <c r="AS740"/>
      <c r="AT740"/>
      <c r="AU740"/>
      <c r="AV740"/>
      <c r="AW740"/>
      <c r="AX740"/>
      <c r="AY740"/>
      <c r="AZ740"/>
      <c r="BA740"/>
      <c r="BB740"/>
      <c r="BC740"/>
      <c r="BD740"/>
      <c r="BE740"/>
      <c r="BF740"/>
      <c r="BG740"/>
      <c r="BH740"/>
      <c r="BI740"/>
      <c r="BJ740"/>
      <c r="BK740"/>
      <c r="BL740"/>
      <c r="BM740"/>
      <c r="BN740"/>
      <c r="BO740"/>
      <c r="BP740"/>
      <c r="BQ740"/>
      <c r="BR740"/>
      <c r="BS740"/>
      <c r="BT740"/>
      <c r="BU740"/>
      <c r="BV740"/>
      <c r="BW740"/>
      <c r="BX740"/>
      <c r="BY740"/>
      <c r="BZ740"/>
    </row>
    <row r="741" spans="4:78" x14ac:dyDescent="0.25">
      <c r="D741"/>
      <c r="E741"/>
      <c r="F741"/>
      <c r="G741"/>
      <c r="H741"/>
      <c r="I741"/>
      <c r="J741"/>
      <c r="K741"/>
      <c r="L741"/>
      <c r="M741"/>
      <c r="N741"/>
      <c r="O741"/>
      <c r="P741"/>
      <c r="Q741"/>
      <c r="R741"/>
      <c r="S741"/>
      <c r="T741"/>
      <c r="U741"/>
      <c r="V741"/>
      <c r="W741"/>
      <c r="X741"/>
      <c r="Y741"/>
      <c r="Z741"/>
      <c r="AA741"/>
      <c r="AB741"/>
      <c r="AC741"/>
      <c r="AD741"/>
      <c r="AE741"/>
      <c r="AF741"/>
      <c r="AG741"/>
      <c r="AH741"/>
      <c r="AI741"/>
      <c r="AJ741"/>
      <c r="AK741"/>
      <c r="AL741"/>
      <c r="AM741"/>
      <c r="AN741"/>
      <c r="AO741"/>
      <c r="AP741"/>
      <c r="AQ741"/>
      <c r="AR741"/>
      <c r="AS741"/>
      <c r="AT741"/>
      <c r="AU741"/>
      <c r="AV741"/>
      <c r="AW741"/>
      <c r="AX741"/>
      <c r="AY741"/>
      <c r="AZ741"/>
      <c r="BA741"/>
      <c r="BB741"/>
      <c r="BC741"/>
      <c r="BD741"/>
      <c r="BE741"/>
      <c r="BF741"/>
      <c r="BG741"/>
      <c r="BH741"/>
      <c r="BI741"/>
      <c r="BJ741"/>
      <c r="BK741"/>
      <c r="BL741"/>
      <c r="BM741"/>
      <c r="BN741"/>
      <c r="BO741"/>
      <c r="BP741"/>
      <c r="BQ741"/>
      <c r="BR741"/>
      <c r="BS741"/>
      <c r="BT741"/>
      <c r="BU741"/>
      <c r="BV741"/>
      <c r="BW741"/>
      <c r="BX741"/>
      <c r="BY741"/>
      <c r="BZ741"/>
    </row>
    <row r="742" spans="4:78" x14ac:dyDescent="0.25">
      <c r="D742"/>
      <c r="E742"/>
      <c r="F742"/>
      <c r="G742"/>
      <c r="H742"/>
      <c r="I742"/>
      <c r="J742"/>
      <c r="K742"/>
      <c r="L742"/>
      <c r="M742"/>
      <c r="N742"/>
      <c r="O742"/>
      <c r="P742"/>
      <c r="Q742"/>
      <c r="R742"/>
      <c r="S742"/>
      <c r="T742"/>
      <c r="U742"/>
      <c r="V742"/>
      <c r="W742"/>
      <c r="X742"/>
      <c r="Y742"/>
      <c r="Z742"/>
      <c r="AA742"/>
      <c r="AB742"/>
      <c r="AC742"/>
      <c r="AD742"/>
      <c r="AE742"/>
      <c r="AF742"/>
      <c r="AG742"/>
      <c r="AH742"/>
      <c r="AI742"/>
      <c r="AJ742"/>
      <c r="AK742"/>
      <c r="AL742"/>
      <c r="AM742"/>
      <c r="AN742"/>
      <c r="AO742"/>
      <c r="AP742"/>
      <c r="AQ742"/>
      <c r="AR742"/>
      <c r="AS742"/>
      <c r="AT742"/>
      <c r="AU742"/>
      <c r="AV742"/>
      <c r="AW742"/>
      <c r="AX742"/>
      <c r="AY742"/>
      <c r="AZ742"/>
      <c r="BA742"/>
      <c r="BB742"/>
      <c r="BC742"/>
      <c r="BD742"/>
      <c r="BE742"/>
      <c r="BF742"/>
      <c r="BG742"/>
      <c r="BH742"/>
      <c r="BI742"/>
      <c r="BJ742"/>
      <c r="BK742"/>
      <c r="BL742"/>
      <c r="BM742"/>
      <c r="BN742"/>
      <c r="BO742"/>
      <c r="BP742"/>
      <c r="BQ742"/>
      <c r="BR742"/>
      <c r="BS742"/>
      <c r="BT742"/>
      <c r="BU742"/>
      <c r="BV742"/>
      <c r="BW742"/>
      <c r="BX742"/>
      <c r="BY742"/>
      <c r="BZ742"/>
    </row>
    <row r="743" spans="4:78" x14ac:dyDescent="0.25">
      <c r="D743"/>
      <c r="E743"/>
      <c r="F743"/>
      <c r="G743"/>
      <c r="H743"/>
      <c r="I743"/>
      <c r="J743"/>
      <c r="K743"/>
      <c r="L743"/>
      <c r="M743"/>
      <c r="N743"/>
      <c r="O743"/>
      <c r="P743"/>
      <c r="Q743"/>
      <c r="R743"/>
      <c r="S743"/>
      <c r="T743"/>
      <c r="U743"/>
      <c r="V743"/>
      <c r="W743"/>
      <c r="X743"/>
      <c r="Y743"/>
      <c r="Z743"/>
      <c r="AA743"/>
      <c r="AB743"/>
      <c r="AC743"/>
      <c r="AD743"/>
      <c r="AE743"/>
      <c r="AF743"/>
      <c r="AG743"/>
      <c r="AH743"/>
      <c r="AI743"/>
      <c r="AJ743"/>
      <c r="AK743"/>
      <c r="AL743"/>
      <c r="AM743"/>
      <c r="AN743"/>
      <c r="AO743"/>
      <c r="AP743"/>
      <c r="AQ743"/>
      <c r="AR743"/>
      <c r="AS743"/>
      <c r="AT743"/>
      <c r="AU743"/>
      <c r="AV743"/>
      <c r="AW743"/>
      <c r="AX743"/>
      <c r="AY743"/>
      <c r="AZ743"/>
      <c r="BA743"/>
      <c r="BB743"/>
      <c r="BC743"/>
      <c r="BD743"/>
      <c r="BE743"/>
      <c r="BF743"/>
      <c r="BG743"/>
      <c r="BH743"/>
      <c r="BI743"/>
      <c r="BJ743"/>
      <c r="BK743"/>
      <c r="BL743"/>
      <c r="BM743"/>
      <c r="BN743"/>
      <c r="BO743"/>
      <c r="BP743"/>
      <c r="BQ743"/>
      <c r="BR743"/>
      <c r="BS743"/>
      <c r="BT743"/>
      <c r="BU743"/>
      <c r="BV743"/>
      <c r="BW743"/>
      <c r="BX743"/>
      <c r="BY743"/>
      <c r="BZ743"/>
    </row>
    <row r="744" spans="4:78" x14ac:dyDescent="0.25">
      <c r="D744"/>
      <c r="E744"/>
      <c r="F744"/>
      <c r="G744"/>
      <c r="H744"/>
      <c r="I744"/>
      <c r="J744"/>
      <c r="K744"/>
      <c r="L744"/>
      <c r="M744"/>
      <c r="N744"/>
      <c r="O744"/>
      <c r="P744"/>
      <c r="Q744"/>
      <c r="R744"/>
      <c r="S744"/>
      <c r="T744"/>
      <c r="U744"/>
      <c r="V744"/>
      <c r="W744"/>
      <c r="X744"/>
      <c r="Y744"/>
      <c r="Z744"/>
      <c r="AA744"/>
      <c r="AB744"/>
      <c r="AC744"/>
      <c r="AD744"/>
      <c r="AE744"/>
      <c r="AF744"/>
      <c r="AG744"/>
      <c r="AH744"/>
      <c r="AI744"/>
      <c r="AJ744"/>
      <c r="AK744"/>
      <c r="AL744"/>
      <c r="AM744"/>
      <c r="AN744"/>
      <c r="AO744"/>
      <c r="AP744"/>
      <c r="AQ744"/>
      <c r="AR744"/>
      <c r="AS744"/>
      <c r="AT744"/>
      <c r="AU744"/>
      <c r="AV744"/>
      <c r="AW744"/>
      <c r="AX744"/>
      <c r="AY744"/>
      <c r="AZ744"/>
      <c r="BA744"/>
      <c r="BB744"/>
      <c r="BC744"/>
      <c r="BD744"/>
      <c r="BE744"/>
      <c r="BF744"/>
      <c r="BG744"/>
      <c r="BH744"/>
      <c r="BI744"/>
      <c r="BJ744"/>
      <c r="BK744"/>
      <c r="BL744"/>
      <c r="BM744"/>
      <c r="BN744"/>
      <c r="BO744"/>
      <c r="BP744"/>
      <c r="BQ744"/>
      <c r="BR744"/>
      <c r="BS744"/>
      <c r="BT744"/>
      <c r="BU744"/>
      <c r="BV744"/>
      <c r="BW744"/>
      <c r="BX744"/>
      <c r="BY744"/>
      <c r="BZ744"/>
    </row>
    <row r="745" spans="4:78" x14ac:dyDescent="0.25">
      <c r="D745"/>
      <c r="E745"/>
      <c r="F745"/>
      <c r="G745"/>
      <c r="H745"/>
      <c r="I745"/>
      <c r="J745"/>
      <c r="K745"/>
      <c r="L745"/>
      <c r="M745"/>
      <c r="N745"/>
      <c r="O745"/>
      <c r="P745"/>
      <c r="Q745"/>
      <c r="R745"/>
      <c r="S745"/>
      <c r="T745"/>
      <c r="U745"/>
      <c r="V745"/>
      <c r="W745"/>
      <c r="X745"/>
      <c r="Y745"/>
      <c r="Z745"/>
      <c r="AA745"/>
      <c r="AB745"/>
      <c r="AC745"/>
      <c r="AD745"/>
      <c r="AE745"/>
      <c r="AF745"/>
      <c r="AG745"/>
      <c r="AH745"/>
      <c r="AI745"/>
      <c r="AJ745"/>
      <c r="AK745"/>
      <c r="AL745"/>
      <c r="AM745"/>
      <c r="AN745"/>
      <c r="AO745"/>
      <c r="AP745"/>
      <c r="AQ745"/>
      <c r="AR745"/>
      <c r="AS745"/>
      <c r="AT745"/>
      <c r="AU745"/>
      <c r="AV745"/>
      <c r="AW745"/>
      <c r="AX745"/>
      <c r="AY745"/>
      <c r="AZ745"/>
      <c r="BA745"/>
      <c r="BB745"/>
      <c r="BC745"/>
      <c r="BD745"/>
      <c r="BE745"/>
      <c r="BF745"/>
      <c r="BG745"/>
      <c r="BH745"/>
      <c r="BI745"/>
      <c r="BJ745"/>
      <c r="BK745"/>
      <c r="BL745"/>
      <c r="BM745"/>
      <c r="BN745"/>
      <c r="BO745"/>
      <c r="BP745"/>
      <c r="BQ745"/>
      <c r="BR745"/>
      <c r="BS745"/>
      <c r="BT745"/>
      <c r="BU745"/>
      <c r="BV745"/>
      <c r="BW745"/>
      <c r="BX745"/>
      <c r="BY745"/>
      <c r="BZ745"/>
    </row>
    <row r="746" spans="4:78" x14ac:dyDescent="0.25">
      <c r="D746"/>
      <c r="E746"/>
      <c r="F746"/>
      <c r="G746"/>
      <c r="H746"/>
      <c r="I746"/>
      <c r="J746"/>
      <c r="K746"/>
      <c r="L746"/>
      <c r="M746"/>
      <c r="N746"/>
      <c r="O746"/>
      <c r="P746"/>
      <c r="Q746"/>
      <c r="R746"/>
      <c r="S746"/>
      <c r="T746"/>
      <c r="U746"/>
      <c r="V746"/>
      <c r="W746"/>
      <c r="X746"/>
      <c r="Y746"/>
      <c r="Z746"/>
      <c r="AA746"/>
      <c r="AB746"/>
      <c r="AC746"/>
      <c r="AD746"/>
      <c r="AE746"/>
      <c r="AF746"/>
      <c r="AG746"/>
      <c r="AH746"/>
      <c r="AI746"/>
      <c r="AJ746"/>
      <c r="AK746"/>
      <c r="AL746"/>
      <c r="AM746"/>
      <c r="AN746"/>
      <c r="AO746"/>
      <c r="AP746"/>
      <c r="AQ746"/>
      <c r="AR746"/>
      <c r="AS746"/>
      <c r="AT746"/>
      <c r="AU746"/>
      <c r="AV746"/>
      <c r="AW746"/>
      <c r="AX746"/>
      <c r="AY746"/>
      <c r="AZ746"/>
      <c r="BA746"/>
      <c r="BB746"/>
      <c r="BC746"/>
      <c r="BD746"/>
      <c r="BE746"/>
      <c r="BF746"/>
      <c r="BG746"/>
      <c r="BH746"/>
      <c r="BI746"/>
      <c r="BJ746"/>
      <c r="BK746"/>
      <c r="BL746"/>
      <c r="BM746"/>
      <c r="BN746"/>
      <c r="BO746"/>
      <c r="BP746"/>
      <c r="BQ746"/>
      <c r="BR746"/>
      <c r="BS746"/>
      <c r="BT746"/>
      <c r="BU746"/>
      <c r="BV746"/>
      <c r="BW746"/>
      <c r="BX746"/>
      <c r="BY746"/>
      <c r="BZ746"/>
    </row>
    <row r="747" spans="4:78" x14ac:dyDescent="0.25">
      <c r="D747"/>
      <c r="E747"/>
      <c r="F747"/>
      <c r="G747"/>
      <c r="H747"/>
      <c r="I747"/>
      <c r="J747"/>
      <c r="K747"/>
      <c r="L747"/>
      <c r="M747"/>
      <c r="N747"/>
      <c r="O747"/>
      <c r="P747"/>
      <c r="Q747"/>
      <c r="R747"/>
      <c r="S747"/>
      <c r="T747"/>
      <c r="U747"/>
      <c r="V747"/>
      <c r="W747"/>
      <c r="X747"/>
      <c r="Y747"/>
      <c r="Z747"/>
      <c r="AA747"/>
      <c r="AB747"/>
      <c r="AC747"/>
      <c r="AD747"/>
      <c r="AE747"/>
      <c r="AF747"/>
      <c r="AG747"/>
      <c r="AH747"/>
      <c r="AI747"/>
      <c r="AJ747"/>
      <c r="AK747"/>
      <c r="AL747"/>
      <c r="AM747"/>
      <c r="AN747"/>
      <c r="AO747"/>
      <c r="AP747"/>
      <c r="AQ747"/>
      <c r="AR747"/>
      <c r="AS747"/>
      <c r="AT747"/>
      <c r="AU747"/>
      <c r="AV747"/>
      <c r="AW747"/>
      <c r="AX747"/>
      <c r="AY747"/>
      <c r="AZ747"/>
      <c r="BA747"/>
      <c r="BB747"/>
      <c r="BC747"/>
      <c r="BD747"/>
      <c r="BE747"/>
      <c r="BF747"/>
      <c r="BG747"/>
      <c r="BH747"/>
      <c r="BI747"/>
      <c r="BJ747"/>
      <c r="BK747"/>
      <c r="BL747"/>
      <c r="BM747"/>
      <c r="BN747"/>
      <c r="BO747"/>
      <c r="BP747"/>
      <c r="BQ747"/>
      <c r="BR747"/>
      <c r="BS747"/>
      <c r="BT747"/>
      <c r="BU747"/>
      <c r="BV747"/>
      <c r="BW747"/>
      <c r="BX747"/>
      <c r="BY747"/>
      <c r="BZ747"/>
    </row>
    <row r="748" spans="4:78" x14ac:dyDescent="0.25">
      <c r="D748"/>
      <c r="E748"/>
      <c r="F748"/>
      <c r="G748"/>
      <c r="H748"/>
      <c r="I748"/>
      <c r="J748"/>
      <c r="K748"/>
      <c r="L748"/>
      <c r="M748"/>
      <c r="N748"/>
      <c r="O748"/>
      <c r="P748"/>
      <c r="Q748"/>
      <c r="R748"/>
      <c r="S748"/>
      <c r="T748"/>
      <c r="U748"/>
      <c r="V748"/>
      <c r="W748"/>
      <c r="X748"/>
      <c r="Y748"/>
      <c r="Z748"/>
      <c r="AA748"/>
      <c r="AB748"/>
      <c r="AC748"/>
      <c r="AD748"/>
      <c r="AE748"/>
      <c r="AF748"/>
      <c r="AG748"/>
      <c r="AH748"/>
      <c r="AI748"/>
      <c r="AJ748"/>
      <c r="AK748"/>
      <c r="AL748"/>
      <c r="AM748"/>
      <c r="AN748"/>
      <c r="AO748"/>
      <c r="AP748"/>
      <c r="AQ748"/>
      <c r="AR748"/>
      <c r="AS748"/>
      <c r="AT748"/>
      <c r="AU748"/>
      <c r="AV748"/>
      <c r="AW748"/>
      <c r="AX748"/>
      <c r="AY748"/>
      <c r="AZ748"/>
      <c r="BA748"/>
      <c r="BB748"/>
      <c r="BC748"/>
      <c r="BD748"/>
      <c r="BE748"/>
      <c r="BF748"/>
      <c r="BG748"/>
      <c r="BH748"/>
      <c r="BI748"/>
      <c r="BJ748"/>
      <c r="BK748"/>
      <c r="BL748"/>
      <c r="BM748"/>
      <c r="BN748"/>
      <c r="BO748"/>
      <c r="BP748"/>
      <c r="BQ748"/>
      <c r="BR748"/>
      <c r="BS748"/>
      <c r="BT748"/>
      <c r="BU748"/>
      <c r="BV748"/>
      <c r="BW748"/>
      <c r="BX748"/>
      <c r="BY748"/>
      <c r="BZ748"/>
    </row>
    <row r="749" spans="4:78" x14ac:dyDescent="0.25">
      <c r="D749"/>
      <c r="E749"/>
      <c r="F749"/>
      <c r="G749"/>
      <c r="H749"/>
      <c r="I749"/>
      <c r="J749"/>
      <c r="K749"/>
      <c r="L749"/>
      <c r="M749"/>
      <c r="N749"/>
      <c r="O749"/>
      <c r="P749"/>
      <c r="Q749"/>
      <c r="R749"/>
      <c r="S749"/>
      <c r="T749"/>
      <c r="U749"/>
      <c r="V749"/>
      <c r="W749"/>
      <c r="X749"/>
      <c r="Y749"/>
      <c r="Z749"/>
      <c r="AA749"/>
      <c r="AB749"/>
      <c r="AC749"/>
      <c r="AD749"/>
      <c r="AE749"/>
      <c r="AF749"/>
      <c r="AG749"/>
      <c r="AH749"/>
      <c r="AI749"/>
      <c r="AJ749"/>
      <c r="AK749"/>
      <c r="AL749"/>
      <c r="AM749"/>
      <c r="AN749"/>
      <c r="AO749"/>
      <c r="AP749"/>
      <c r="AQ749"/>
      <c r="AR749"/>
      <c r="AS749"/>
      <c r="AT749"/>
      <c r="AU749"/>
      <c r="AV749"/>
      <c r="AW749"/>
      <c r="AX749"/>
      <c r="AY749"/>
      <c r="AZ749"/>
      <c r="BA749"/>
      <c r="BB749"/>
      <c r="BC749"/>
      <c r="BD749"/>
      <c r="BE749"/>
      <c r="BF749"/>
      <c r="BG749"/>
      <c r="BH749"/>
      <c r="BI749"/>
      <c r="BJ749"/>
      <c r="BK749"/>
      <c r="BL749"/>
      <c r="BM749"/>
      <c r="BN749"/>
      <c r="BO749"/>
      <c r="BP749"/>
      <c r="BQ749"/>
      <c r="BR749"/>
      <c r="BS749"/>
      <c r="BT749"/>
      <c r="BU749"/>
      <c r="BV749"/>
      <c r="BW749"/>
      <c r="BX749"/>
      <c r="BY749"/>
      <c r="BZ749"/>
    </row>
    <row r="750" spans="4:78" x14ac:dyDescent="0.25">
      <c r="D750"/>
      <c r="E750"/>
      <c r="F750"/>
      <c r="G750"/>
      <c r="H750"/>
      <c r="I750"/>
      <c r="J750"/>
      <c r="K750"/>
      <c r="L750"/>
      <c r="M750"/>
      <c r="N750"/>
      <c r="O750"/>
      <c r="P750"/>
      <c r="Q750"/>
      <c r="R750"/>
      <c r="S750"/>
      <c r="T750"/>
      <c r="U750"/>
      <c r="V750"/>
      <c r="W750"/>
      <c r="X750"/>
      <c r="Y750"/>
      <c r="Z750"/>
      <c r="AA750"/>
      <c r="AB750"/>
      <c r="AC750"/>
      <c r="AD750"/>
      <c r="AE750"/>
      <c r="AF750"/>
      <c r="AG750"/>
      <c r="AH750"/>
      <c r="AI750"/>
      <c r="AJ750"/>
      <c r="AK750"/>
      <c r="AL750"/>
      <c r="AM750"/>
      <c r="AN750"/>
      <c r="AO750"/>
      <c r="AP750"/>
      <c r="AQ750"/>
      <c r="AR750"/>
      <c r="AS750"/>
      <c r="AT750"/>
      <c r="AU750"/>
      <c r="AV750"/>
      <c r="AW750"/>
      <c r="AX750"/>
      <c r="AY750"/>
      <c r="AZ750"/>
      <c r="BA750"/>
      <c r="BB750"/>
      <c r="BC750"/>
      <c r="BD750"/>
      <c r="BE750"/>
      <c r="BF750"/>
      <c r="BG750"/>
      <c r="BH750"/>
      <c r="BI750"/>
      <c r="BJ750"/>
      <c r="BK750"/>
      <c r="BL750"/>
      <c r="BM750"/>
      <c r="BN750"/>
      <c r="BO750"/>
      <c r="BP750"/>
      <c r="BQ750"/>
      <c r="BR750"/>
      <c r="BS750"/>
      <c r="BT750"/>
      <c r="BU750"/>
      <c r="BV750"/>
      <c r="BW750"/>
      <c r="BX750"/>
      <c r="BY750"/>
      <c r="BZ750"/>
    </row>
    <row r="751" spans="4:78" x14ac:dyDescent="0.25">
      <c r="D751"/>
      <c r="E751"/>
      <c r="F751"/>
      <c r="G751"/>
      <c r="H751"/>
      <c r="I751"/>
      <c r="J751"/>
      <c r="K751"/>
      <c r="L751"/>
      <c r="M751"/>
      <c r="N751"/>
      <c r="O751"/>
      <c r="P751"/>
      <c r="Q751"/>
      <c r="R751"/>
      <c r="S751"/>
      <c r="T751"/>
      <c r="U751"/>
      <c r="V751"/>
      <c r="W751"/>
      <c r="X751"/>
      <c r="Y751"/>
      <c r="Z751"/>
      <c r="AA751"/>
      <c r="AB751"/>
      <c r="AC751"/>
      <c r="AD751"/>
      <c r="AE751"/>
      <c r="AF751"/>
      <c r="AG751"/>
      <c r="AH751"/>
      <c r="AI751"/>
      <c r="AJ751"/>
      <c r="AK751"/>
      <c r="AL751"/>
      <c r="AM751"/>
      <c r="AN751"/>
      <c r="AO751"/>
      <c r="AP751"/>
      <c r="AQ751"/>
      <c r="AR751"/>
      <c r="AS751"/>
      <c r="AT751"/>
      <c r="AU751"/>
      <c r="AV751"/>
      <c r="AW751"/>
      <c r="AX751"/>
      <c r="AY751"/>
      <c r="AZ751"/>
      <c r="BA751"/>
      <c r="BB751"/>
      <c r="BC751"/>
      <c r="BD751"/>
      <c r="BE751"/>
      <c r="BF751"/>
      <c r="BG751"/>
      <c r="BH751"/>
      <c r="BI751"/>
      <c r="BJ751"/>
      <c r="BK751"/>
      <c r="BL751"/>
      <c r="BM751"/>
      <c r="BN751"/>
      <c r="BO751"/>
      <c r="BP751"/>
      <c r="BQ751"/>
      <c r="BR751"/>
      <c r="BS751"/>
      <c r="BT751"/>
      <c r="BU751"/>
      <c r="BV751"/>
      <c r="BW751"/>
      <c r="BX751"/>
      <c r="BY751"/>
      <c r="BZ751"/>
    </row>
    <row r="752" spans="4:78" x14ac:dyDescent="0.25">
      <c r="D752"/>
      <c r="E752"/>
      <c r="F752"/>
      <c r="G752"/>
      <c r="H752"/>
      <c r="I752"/>
      <c r="J752"/>
      <c r="K752"/>
      <c r="L752"/>
      <c r="M752"/>
      <c r="N752"/>
      <c r="O752"/>
      <c r="P752"/>
      <c r="Q752"/>
      <c r="R752"/>
      <c r="S752"/>
      <c r="T752"/>
      <c r="U752"/>
      <c r="V752"/>
      <c r="W752"/>
      <c r="X752"/>
      <c r="Y752"/>
      <c r="Z752"/>
      <c r="AA752"/>
      <c r="AB752"/>
      <c r="AC752"/>
      <c r="AD752"/>
      <c r="AE752"/>
      <c r="AF752"/>
      <c r="AG752"/>
      <c r="AH752"/>
      <c r="AI752"/>
      <c r="AJ752"/>
      <c r="AK752"/>
      <c r="AL752"/>
      <c r="AM752"/>
      <c r="AN752"/>
      <c r="AO752"/>
      <c r="AP752"/>
      <c r="AQ752"/>
      <c r="AR752"/>
      <c r="AS752"/>
      <c r="AT752"/>
      <c r="AU752"/>
      <c r="AV752"/>
      <c r="AW752"/>
      <c r="AX752"/>
      <c r="AY752"/>
      <c r="AZ752"/>
      <c r="BA752"/>
      <c r="BB752"/>
      <c r="BC752"/>
      <c r="BD752"/>
      <c r="BE752"/>
      <c r="BF752"/>
      <c r="BG752"/>
      <c r="BH752"/>
      <c r="BI752"/>
      <c r="BJ752"/>
      <c r="BK752"/>
      <c r="BL752"/>
      <c r="BM752"/>
      <c r="BN752"/>
      <c r="BO752"/>
      <c r="BP752"/>
      <c r="BQ752"/>
      <c r="BR752"/>
      <c r="BS752"/>
      <c r="BT752"/>
      <c r="BU752"/>
      <c r="BV752"/>
      <c r="BW752"/>
      <c r="BX752"/>
      <c r="BY752"/>
      <c r="BZ752"/>
    </row>
    <row r="753" spans="4:78" x14ac:dyDescent="0.25">
      <c r="D753"/>
      <c r="E753"/>
      <c r="F753"/>
      <c r="G753"/>
      <c r="H753"/>
      <c r="I753"/>
      <c r="J753"/>
      <c r="K753"/>
      <c r="L753"/>
      <c r="M753"/>
      <c r="N753"/>
      <c r="O753"/>
      <c r="P753"/>
      <c r="Q753"/>
      <c r="R753"/>
      <c r="S753"/>
      <c r="T753"/>
      <c r="U753"/>
      <c r="V753"/>
      <c r="W753"/>
      <c r="X753"/>
      <c r="Y753"/>
      <c r="Z753"/>
      <c r="AA753"/>
      <c r="AB753"/>
      <c r="AC753"/>
      <c r="AD753"/>
      <c r="AE753"/>
      <c r="AF753"/>
      <c r="AG753"/>
      <c r="AH753"/>
      <c r="AI753"/>
      <c r="AJ753"/>
      <c r="AK753"/>
      <c r="AL753"/>
      <c r="AM753"/>
      <c r="AN753"/>
      <c r="AO753"/>
      <c r="AP753"/>
      <c r="AQ753"/>
      <c r="AR753"/>
      <c r="AS753"/>
      <c r="AT753"/>
      <c r="AU753"/>
      <c r="AV753"/>
      <c r="AW753"/>
      <c r="AX753"/>
      <c r="AY753"/>
      <c r="AZ753"/>
      <c r="BA753"/>
      <c r="BB753"/>
      <c r="BC753"/>
      <c r="BD753"/>
      <c r="BE753"/>
      <c r="BF753"/>
      <c r="BG753"/>
      <c r="BH753"/>
      <c r="BI753"/>
      <c r="BJ753"/>
      <c r="BK753"/>
      <c r="BL753"/>
      <c r="BM753"/>
      <c r="BN753"/>
      <c r="BO753"/>
      <c r="BP753"/>
      <c r="BQ753"/>
      <c r="BR753"/>
      <c r="BS753"/>
      <c r="BT753"/>
      <c r="BU753"/>
      <c r="BV753"/>
      <c r="BW753"/>
      <c r="BX753"/>
      <c r="BY753"/>
      <c r="BZ753"/>
    </row>
    <row r="754" spans="4:78" x14ac:dyDescent="0.25">
      <c r="D754"/>
      <c r="E754"/>
      <c r="F754"/>
      <c r="G754"/>
      <c r="H754"/>
      <c r="I754"/>
      <c r="J754"/>
      <c r="K754"/>
      <c r="L754"/>
      <c r="M754"/>
      <c r="N754"/>
      <c r="O754"/>
      <c r="P754"/>
      <c r="Q754"/>
      <c r="R754"/>
      <c r="S754"/>
      <c r="T754"/>
      <c r="U754"/>
      <c r="V754"/>
      <c r="W754"/>
      <c r="X754"/>
      <c r="Y754"/>
      <c r="Z754"/>
      <c r="AA754"/>
      <c r="AB754"/>
      <c r="AC754"/>
      <c r="AD754"/>
      <c r="AE754"/>
      <c r="AF754"/>
      <c r="AG754"/>
      <c r="AH754"/>
      <c r="AI754"/>
      <c r="AJ754"/>
      <c r="AK754"/>
      <c r="AL754"/>
      <c r="AM754"/>
      <c r="AN754"/>
      <c r="AO754"/>
      <c r="AP754"/>
      <c r="AQ754"/>
      <c r="AR754"/>
      <c r="AS754"/>
      <c r="AT754"/>
      <c r="AU754"/>
      <c r="AV754"/>
      <c r="AW754"/>
      <c r="AX754"/>
      <c r="AY754"/>
      <c r="AZ754"/>
      <c r="BA754"/>
      <c r="BB754"/>
      <c r="BC754"/>
      <c r="BD754"/>
      <c r="BE754"/>
      <c r="BF754"/>
      <c r="BG754"/>
      <c r="BH754"/>
      <c r="BI754"/>
      <c r="BJ754"/>
      <c r="BK754"/>
      <c r="BL754"/>
      <c r="BM754"/>
      <c r="BN754"/>
      <c r="BO754"/>
      <c r="BP754"/>
      <c r="BQ754"/>
      <c r="BR754"/>
      <c r="BS754"/>
      <c r="BT754"/>
      <c r="BU754"/>
      <c r="BV754"/>
      <c r="BW754"/>
      <c r="BX754"/>
      <c r="BY754"/>
      <c r="BZ754"/>
    </row>
    <row r="755" spans="4:78" x14ac:dyDescent="0.25">
      <c r="D755"/>
      <c r="E755"/>
      <c r="F755"/>
      <c r="G755"/>
      <c r="H755"/>
      <c r="I755"/>
      <c r="J755"/>
      <c r="K755"/>
      <c r="L755"/>
      <c r="M755"/>
      <c r="N755"/>
      <c r="O755"/>
      <c r="P755"/>
      <c r="Q755"/>
      <c r="R755"/>
      <c r="S755"/>
      <c r="T755"/>
      <c r="U755"/>
      <c r="V755"/>
      <c r="W755"/>
      <c r="X755"/>
      <c r="Y755"/>
      <c r="Z755"/>
      <c r="AA755"/>
      <c r="AB755"/>
      <c r="AC755"/>
      <c r="AD755"/>
      <c r="AE755"/>
      <c r="AF755"/>
      <c r="AG755"/>
      <c r="AH755"/>
      <c r="AI755"/>
      <c r="AJ755"/>
      <c r="AK755"/>
      <c r="AL755"/>
      <c r="AM755"/>
      <c r="AN755"/>
      <c r="AO755"/>
      <c r="AP755"/>
      <c r="AQ755"/>
      <c r="AR755"/>
      <c r="AS755"/>
      <c r="AT755"/>
      <c r="AU755"/>
      <c r="AV755"/>
      <c r="AW755"/>
      <c r="AX755"/>
      <c r="AY755"/>
      <c r="AZ755"/>
      <c r="BA755"/>
      <c r="BB755"/>
      <c r="BC755"/>
      <c r="BD755"/>
      <c r="BE755"/>
      <c r="BF755"/>
      <c r="BG755"/>
      <c r="BH755"/>
      <c r="BI755"/>
      <c r="BJ755"/>
      <c r="BK755"/>
      <c r="BL755"/>
      <c r="BM755"/>
      <c r="BN755"/>
      <c r="BO755"/>
      <c r="BP755"/>
      <c r="BQ755"/>
      <c r="BR755"/>
      <c r="BS755"/>
      <c r="BT755"/>
      <c r="BU755"/>
      <c r="BV755"/>
      <c r="BW755"/>
      <c r="BX755"/>
      <c r="BY755"/>
      <c r="BZ755"/>
    </row>
    <row r="756" spans="4:78" x14ac:dyDescent="0.25">
      <c r="D756"/>
      <c r="E756"/>
      <c r="F756"/>
      <c r="G756"/>
      <c r="H756"/>
      <c r="I756"/>
      <c r="J756"/>
      <c r="K756"/>
      <c r="L756"/>
      <c r="M756"/>
      <c r="N756"/>
      <c r="O756"/>
      <c r="P756"/>
      <c r="Q756"/>
      <c r="R756"/>
      <c r="S756"/>
      <c r="T756"/>
      <c r="U756"/>
      <c r="V756"/>
      <c r="W756"/>
      <c r="X756"/>
      <c r="Y756"/>
      <c r="Z756"/>
      <c r="AA756"/>
      <c r="AB756"/>
      <c r="AC756"/>
      <c r="AD756"/>
      <c r="AE756"/>
      <c r="AF756"/>
      <c r="AG756"/>
      <c r="AH756"/>
      <c r="AI756"/>
      <c r="AJ756"/>
      <c r="AK756"/>
      <c r="AL756"/>
      <c r="AM756"/>
      <c r="AN756"/>
      <c r="AO756"/>
      <c r="AP756"/>
      <c r="AQ756"/>
      <c r="AR756"/>
      <c r="AS756"/>
      <c r="AT756"/>
      <c r="AU756"/>
      <c r="AV756"/>
      <c r="AW756"/>
      <c r="AX756"/>
      <c r="AY756"/>
      <c r="AZ756"/>
      <c r="BA756"/>
      <c r="BB756"/>
      <c r="BC756"/>
      <c r="BD756"/>
      <c r="BE756"/>
      <c r="BF756"/>
      <c r="BG756"/>
      <c r="BH756"/>
      <c r="BI756"/>
      <c r="BJ756"/>
      <c r="BK756"/>
      <c r="BL756"/>
      <c r="BM756"/>
      <c r="BN756"/>
      <c r="BO756"/>
      <c r="BP756"/>
      <c r="BQ756"/>
      <c r="BR756"/>
      <c r="BS756"/>
      <c r="BT756"/>
      <c r="BU756"/>
      <c r="BV756"/>
      <c r="BW756"/>
      <c r="BX756"/>
      <c r="BY756"/>
      <c r="BZ756"/>
    </row>
    <row r="757" spans="4:78" x14ac:dyDescent="0.25">
      <c r="D757"/>
      <c r="E757"/>
      <c r="F757"/>
      <c r="G757"/>
      <c r="H757"/>
      <c r="I757"/>
      <c r="J757"/>
      <c r="K757"/>
      <c r="L757"/>
      <c r="M757"/>
      <c r="N757"/>
      <c r="O757"/>
      <c r="P757"/>
      <c r="Q757"/>
      <c r="R757"/>
      <c r="S757"/>
      <c r="T757"/>
      <c r="U757"/>
      <c r="V757"/>
      <c r="W757"/>
      <c r="X757"/>
      <c r="Y757"/>
      <c r="Z757"/>
      <c r="AA757"/>
      <c r="AB757"/>
      <c r="AC757"/>
      <c r="AD757"/>
      <c r="AE757"/>
      <c r="AF757"/>
      <c r="AG757"/>
      <c r="AH757"/>
      <c r="AI757"/>
      <c r="AJ757"/>
      <c r="AK757"/>
      <c r="AL757"/>
      <c r="AM757"/>
      <c r="AN757"/>
      <c r="AO757"/>
      <c r="AP757"/>
      <c r="AQ757"/>
      <c r="AR757"/>
      <c r="AS757"/>
      <c r="AT757"/>
      <c r="AU757"/>
      <c r="AV757"/>
      <c r="AW757"/>
      <c r="AX757"/>
      <c r="AY757"/>
      <c r="AZ757"/>
      <c r="BA757"/>
      <c r="BB757"/>
      <c r="BC757"/>
      <c r="BD757"/>
      <c r="BE757"/>
      <c r="BF757"/>
      <c r="BG757"/>
      <c r="BH757"/>
      <c r="BI757"/>
      <c r="BJ757"/>
      <c r="BK757"/>
      <c r="BL757"/>
      <c r="BM757"/>
      <c r="BN757"/>
      <c r="BO757"/>
      <c r="BP757"/>
      <c r="BQ757"/>
      <c r="BR757"/>
      <c r="BS757"/>
      <c r="BT757"/>
      <c r="BU757"/>
      <c r="BV757"/>
      <c r="BW757"/>
      <c r="BX757"/>
      <c r="BY757"/>
      <c r="BZ757"/>
    </row>
    <row r="758" spans="4:78" x14ac:dyDescent="0.25">
      <c r="D758"/>
      <c r="E758"/>
      <c r="F758"/>
      <c r="G758"/>
      <c r="H758"/>
      <c r="I758"/>
      <c r="J758"/>
      <c r="K758"/>
      <c r="L758"/>
      <c r="M758"/>
      <c r="N758"/>
      <c r="O758"/>
      <c r="P758"/>
      <c r="Q758"/>
      <c r="R758"/>
      <c r="S758"/>
      <c r="T758"/>
      <c r="U758"/>
      <c r="V758"/>
      <c r="W758"/>
      <c r="X758"/>
      <c r="Y758"/>
      <c r="Z758"/>
      <c r="AA758"/>
      <c r="AB758"/>
      <c r="AC758"/>
      <c r="AD758"/>
      <c r="AE758"/>
      <c r="AF758"/>
      <c r="AG758"/>
      <c r="AH758"/>
      <c r="AI758"/>
      <c r="AJ758"/>
      <c r="AK758"/>
      <c r="AL758"/>
      <c r="AM758"/>
      <c r="AN758"/>
      <c r="AO758"/>
      <c r="AP758"/>
      <c r="AQ758"/>
      <c r="AR758"/>
      <c r="AS758"/>
      <c r="AT758"/>
      <c r="AU758"/>
      <c r="AV758"/>
      <c r="AW758"/>
      <c r="AX758"/>
      <c r="AY758"/>
      <c r="AZ758"/>
      <c r="BA758"/>
      <c r="BB758"/>
      <c r="BC758"/>
      <c r="BD758"/>
      <c r="BE758"/>
      <c r="BF758"/>
      <c r="BG758"/>
      <c r="BH758"/>
      <c r="BI758"/>
      <c r="BJ758"/>
      <c r="BK758"/>
      <c r="BL758"/>
      <c r="BM758"/>
      <c r="BN758"/>
      <c r="BO758"/>
      <c r="BP758"/>
      <c r="BQ758"/>
      <c r="BR758"/>
      <c r="BS758"/>
      <c r="BT758"/>
      <c r="BU758"/>
      <c r="BV758"/>
      <c r="BW758"/>
      <c r="BX758"/>
      <c r="BY758"/>
      <c r="BZ758"/>
    </row>
    <row r="759" spans="4:78" x14ac:dyDescent="0.25">
      <c r="D759"/>
      <c r="E759"/>
      <c r="F759"/>
      <c r="G759"/>
      <c r="H759"/>
      <c r="I759"/>
      <c r="J759"/>
      <c r="K759"/>
      <c r="L759"/>
      <c r="M759"/>
      <c r="N759"/>
      <c r="O759"/>
      <c r="P759"/>
      <c r="Q759"/>
      <c r="R759"/>
      <c r="S759"/>
      <c r="T759"/>
      <c r="U759"/>
      <c r="V759"/>
      <c r="W759"/>
      <c r="X759"/>
      <c r="Y759"/>
      <c r="Z759"/>
      <c r="AA759"/>
      <c r="AB759"/>
      <c r="AC759"/>
      <c r="AD759"/>
      <c r="AE759"/>
      <c r="AF759"/>
      <c r="AG759"/>
      <c r="AH759"/>
      <c r="AI759"/>
      <c r="AJ759"/>
      <c r="AK759"/>
      <c r="AL759"/>
      <c r="AM759"/>
      <c r="AN759"/>
      <c r="AO759"/>
      <c r="AP759"/>
      <c r="AQ759"/>
      <c r="AR759"/>
      <c r="AS759"/>
      <c r="AT759"/>
      <c r="AU759"/>
      <c r="AV759"/>
      <c r="AW759"/>
      <c r="AX759"/>
      <c r="AY759"/>
      <c r="AZ759"/>
      <c r="BA759"/>
      <c r="BB759"/>
      <c r="BC759"/>
      <c r="BD759"/>
      <c r="BE759"/>
      <c r="BF759"/>
      <c r="BG759"/>
      <c r="BH759"/>
      <c r="BI759"/>
      <c r="BJ759"/>
      <c r="BK759"/>
      <c r="BL759"/>
      <c r="BM759"/>
      <c r="BN759"/>
      <c r="BO759"/>
      <c r="BP759"/>
      <c r="BQ759"/>
      <c r="BR759"/>
      <c r="BS759"/>
      <c r="BT759"/>
      <c r="BU759"/>
      <c r="BV759"/>
      <c r="BW759"/>
      <c r="BX759"/>
      <c r="BY759"/>
      <c r="BZ759"/>
    </row>
    <row r="760" spans="4:78" x14ac:dyDescent="0.25">
      <c r="D760"/>
      <c r="E760"/>
      <c r="F760"/>
      <c r="G760"/>
      <c r="H760"/>
      <c r="I760"/>
      <c r="J760"/>
      <c r="K760"/>
      <c r="L760"/>
      <c r="M760"/>
      <c r="N760"/>
      <c r="O760"/>
      <c r="P760"/>
      <c r="Q760"/>
      <c r="R760"/>
      <c r="S760"/>
      <c r="T760"/>
      <c r="U760"/>
      <c r="V760"/>
      <c r="W760"/>
      <c r="X760"/>
      <c r="Y760"/>
      <c r="Z760"/>
      <c r="AA760"/>
      <c r="AB760"/>
      <c r="AC760"/>
      <c r="AD760"/>
      <c r="AE760"/>
      <c r="AF760"/>
      <c r="AG760"/>
      <c r="AH760"/>
      <c r="AI760"/>
      <c r="AJ760"/>
      <c r="AK760"/>
      <c r="AL760"/>
      <c r="AM760"/>
      <c r="AN760"/>
      <c r="AO760"/>
      <c r="AP760"/>
      <c r="AQ760"/>
      <c r="AR760"/>
      <c r="AS760"/>
      <c r="AT760"/>
      <c r="AU760"/>
      <c r="AV760"/>
      <c r="AW760"/>
      <c r="AX760"/>
      <c r="AY760"/>
      <c r="AZ760"/>
      <c r="BA760"/>
      <c r="BB760"/>
      <c r="BC760"/>
      <c r="BD760"/>
      <c r="BE760"/>
      <c r="BF760"/>
      <c r="BG760"/>
      <c r="BH760"/>
      <c r="BI760"/>
      <c r="BJ760"/>
      <c r="BK760"/>
      <c r="BL760"/>
      <c r="BM760"/>
      <c r="BN760"/>
      <c r="BO760"/>
      <c r="BP760"/>
      <c r="BQ760"/>
      <c r="BR760"/>
      <c r="BS760"/>
      <c r="BT760"/>
      <c r="BU760"/>
      <c r="BV760"/>
      <c r="BW760"/>
      <c r="BX760"/>
      <c r="BY760"/>
      <c r="BZ760"/>
    </row>
    <row r="761" spans="4:78" x14ac:dyDescent="0.25">
      <c r="D761"/>
      <c r="E761"/>
      <c r="F761"/>
      <c r="G761"/>
      <c r="H761"/>
      <c r="I761"/>
      <c r="J761"/>
      <c r="K761"/>
      <c r="L761"/>
      <c r="M761"/>
      <c r="N761"/>
      <c r="O761"/>
      <c r="P761"/>
      <c r="Q761"/>
      <c r="R761"/>
      <c r="S761"/>
      <c r="T761"/>
      <c r="U761"/>
      <c r="V761"/>
      <c r="W761"/>
      <c r="X761"/>
      <c r="Y761"/>
      <c r="Z761"/>
      <c r="AA761"/>
      <c r="AB761"/>
      <c r="AC761"/>
      <c r="AD761"/>
      <c r="AE761"/>
      <c r="AF761"/>
      <c r="AG761"/>
      <c r="AH761"/>
      <c r="AI761"/>
      <c r="AJ761"/>
      <c r="AK761"/>
      <c r="AL761"/>
      <c r="AM761"/>
      <c r="AN761"/>
      <c r="AO761"/>
      <c r="AP761"/>
      <c r="AQ761"/>
      <c r="AR761"/>
      <c r="AS761"/>
      <c r="AT761"/>
      <c r="AU761"/>
      <c r="AV761"/>
      <c r="AW761"/>
      <c r="AX761"/>
      <c r="AY761"/>
      <c r="AZ761"/>
      <c r="BA761"/>
      <c r="BB761"/>
      <c r="BC761"/>
      <c r="BD761"/>
      <c r="BE761"/>
      <c r="BF761"/>
      <c r="BG761"/>
      <c r="BH761"/>
      <c r="BI761"/>
      <c r="BJ761"/>
      <c r="BK761"/>
      <c r="BL761"/>
      <c r="BM761"/>
      <c r="BN761"/>
      <c r="BO761"/>
      <c r="BP761"/>
      <c r="BQ761"/>
      <c r="BR761"/>
      <c r="BS761"/>
      <c r="BT761"/>
      <c r="BU761"/>
      <c r="BV761"/>
      <c r="BW761"/>
      <c r="BX761"/>
      <c r="BY761"/>
      <c r="BZ761"/>
    </row>
    <row r="762" spans="4:78" x14ac:dyDescent="0.25">
      <c r="D762"/>
      <c r="E762"/>
      <c r="F762"/>
      <c r="G762"/>
      <c r="H762"/>
      <c r="I762"/>
      <c r="J762"/>
      <c r="K762"/>
      <c r="L762"/>
      <c r="M762"/>
      <c r="N762"/>
      <c r="O762"/>
      <c r="P762"/>
      <c r="Q762"/>
      <c r="R762"/>
      <c r="S762"/>
      <c r="T762"/>
      <c r="U762"/>
      <c r="V762"/>
      <c r="W762"/>
      <c r="X762"/>
      <c r="Y762"/>
      <c r="Z762"/>
      <c r="AA762"/>
      <c r="AB762"/>
      <c r="AC762"/>
      <c r="AD762"/>
      <c r="AE762"/>
      <c r="AF762"/>
      <c r="AG762"/>
      <c r="AH762"/>
      <c r="AI762"/>
      <c r="AJ762"/>
      <c r="AK762"/>
      <c r="AL762"/>
      <c r="AM762"/>
      <c r="AN762"/>
      <c r="AO762"/>
      <c r="AP762"/>
      <c r="AQ762"/>
      <c r="AR762"/>
      <c r="AS762"/>
      <c r="AT762"/>
      <c r="AU762"/>
      <c r="AV762"/>
      <c r="AW762"/>
      <c r="AX762"/>
      <c r="AY762"/>
      <c r="AZ762"/>
      <c r="BA762"/>
      <c r="BB762"/>
      <c r="BC762"/>
      <c r="BD762"/>
      <c r="BE762"/>
      <c r="BF762"/>
      <c r="BG762"/>
      <c r="BH762"/>
      <c r="BI762"/>
      <c r="BJ762"/>
      <c r="BK762"/>
      <c r="BL762"/>
      <c r="BM762"/>
      <c r="BN762"/>
      <c r="BO762"/>
      <c r="BP762"/>
      <c r="BQ762"/>
      <c r="BR762"/>
      <c r="BS762"/>
      <c r="BT762"/>
      <c r="BU762"/>
      <c r="BV762"/>
      <c r="BW762"/>
      <c r="BX762"/>
      <c r="BY762"/>
      <c r="BZ762"/>
    </row>
    <row r="763" spans="4:78" x14ac:dyDescent="0.25">
      <c r="D763"/>
      <c r="E763"/>
      <c r="F763"/>
      <c r="G763"/>
      <c r="H763"/>
      <c r="I763"/>
      <c r="J763"/>
      <c r="K763"/>
      <c r="L763"/>
      <c r="M763"/>
      <c r="N763"/>
      <c r="O763"/>
      <c r="P763"/>
      <c r="Q763"/>
      <c r="R763"/>
      <c r="S763"/>
      <c r="T763"/>
      <c r="U763"/>
      <c r="V763"/>
      <c r="W763"/>
      <c r="X763"/>
      <c r="Y763"/>
      <c r="Z763"/>
      <c r="AA763"/>
      <c r="AB763"/>
      <c r="AC763"/>
      <c r="AD763"/>
      <c r="AE763"/>
      <c r="AF763"/>
      <c r="AG763"/>
      <c r="AH763"/>
      <c r="AI763"/>
      <c r="AJ763"/>
      <c r="AK763"/>
      <c r="AL763"/>
      <c r="AM763"/>
      <c r="AN763"/>
      <c r="AO763"/>
      <c r="AP763"/>
      <c r="AQ763"/>
      <c r="AR763"/>
      <c r="AS763"/>
      <c r="AT763"/>
      <c r="AU763"/>
      <c r="AV763"/>
      <c r="AW763"/>
      <c r="AX763"/>
      <c r="AY763"/>
      <c r="AZ763"/>
      <c r="BA763"/>
      <c r="BB763"/>
      <c r="BC763"/>
      <c r="BD763"/>
      <c r="BE763"/>
      <c r="BF763"/>
      <c r="BG763"/>
      <c r="BH763"/>
      <c r="BI763"/>
      <c r="BJ763"/>
      <c r="BK763"/>
      <c r="BL763"/>
      <c r="BM763"/>
      <c r="BN763"/>
      <c r="BO763"/>
      <c r="BP763"/>
      <c r="BQ763"/>
      <c r="BR763"/>
      <c r="BS763"/>
      <c r="BT763"/>
      <c r="BU763"/>
      <c r="BV763"/>
      <c r="BW763"/>
      <c r="BX763"/>
      <c r="BY763"/>
      <c r="BZ763"/>
    </row>
    <row r="764" spans="4:78" x14ac:dyDescent="0.25">
      <c r="D764"/>
      <c r="E764"/>
      <c r="F764"/>
      <c r="G764"/>
      <c r="H764"/>
      <c r="I764"/>
      <c r="J764"/>
      <c r="K764"/>
      <c r="L764"/>
      <c r="M764"/>
      <c r="N764"/>
      <c r="O764"/>
      <c r="P764"/>
      <c r="Q764"/>
      <c r="R764"/>
      <c r="S764"/>
      <c r="T764"/>
      <c r="U764"/>
      <c r="V764"/>
      <c r="W764"/>
      <c r="X764"/>
      <c r="Y764"/>
      <c r="Z764"/>
      <c r="AA764"/>
      <c r="AB764"/>
      <c r="AC764"/>
      <c r="AD764"/>
      <c r="AE764"/>
      <c r="AF764"/>
      <c r="AG764"/>
      <c r="AH764"/>
      <c r="AI764"/>
      <c r="AJ764"/>
      <c r="AK764"/>
      <c r="AL764"/>
      <c r="AM764"/>
      <c r="AN764"/>
      <c r="AO764"/>
      <c r="AP764"/>
      <c r="AQ764"/>
      <c r="AR764"/>
      <c r="AS764"/>
      <c r="AT764"/>
      <c r="AU764"/>
      <c r="AV764"/>
      <c r="AW764"/>
      <c r="AX764"/>
      <c r="AY764"/>
      <c r="AZ764"/>
      <c r="BA764"/>
      <c r="BB764"/>
      <c r="BC764"/>
      <c r="BD764"/>
      <c r="BE764"/>
      <c r="BF764"/>
      <c r="BG764"/>
      <c r="BH764"/>
      <c r="BI764"/>
      <c r="BJ764"/>
      <c r="BK764"/>
      <c r="BL764"/>
      <c r="BM764"/>
      <c r="BN764"/>
      <c r="BO764"/>
      <c r="BP764"/>
      <c r="BQ764"/>
      <c r="BR764"/>
      <c r="BS764"/>
      <c r="BT764"/>
      <c r="BU764"/>
      <c r="BV764"/>
      <c r="BW764"/>
      <c r="BX764"/>
      <c r="BY764"/>
      <c r="BZ764"/>
    </row>
    <row r="765" spans="4:78" x14ac:dyDescent="0.25">
      <c r="D765"/>
      <c r="E765"/>
      <c r="F765"/>
      <c r="G765"/>
      <c r="H765"/>
      <c r="I765"/>
      <c r="J765"/>
      <c r="K765"/>
      <c r="L765"/>
      <c r="M765"/>
      <c r="N765"/>
      <c r="O765"/>
      <c r="P765"/>
      <c r="Q765"/>
      <c r="R765"/>
      <c r="S765"/>
      <c r="T765"/>
      <c r="U765"/>
      <c r="V765"/>
      <c r="W765"/>
      <c r="X765"/>
      <c r="Y765"/>
      <c r="Z765"/>
      <c r="AA765"/>
      <c r="AB765"/>
      <c r="AC765"/>
      <c r="AD765"/>
      <c r="AE765"/>
      <c r="AF765"/>
      <c r="AG765"/>
      <c r="AH765"/>
      <c r="AI765"/>
      <c r="AJ765"/>
      <c r="AK765"/>
      <c r="AL765"/>
      <c r="AM765"/>
      <c r="AN765"/>
      <c r="AO765"/>
      <c r="AP765"/>
      <c r="AQ765"/>
      <c r="AR765"/>
      <c r="AS765"/>
      <c r="AT765"/>
      <c r="AU765"/>
      <c r="AV765"/>
      <c r="AW765"/>
      <c r="AX765"/>
      <c r="AY765"/>
      <c r="AZ765"/>
      <c r="BA765"/>
      <c r="BB765"/>
      <c r="BC765"/>
      <c r="BD765"/>
      <c r="BE765"/>
      <c r="BF765"/>
      <c r="BG765"/>
      <c r="BH765"/>
      <c r="BI765"/>
      <c r="BJ765"/>
      <c r="BK765"/>
      <c r="BL765"/>
      <c r="BM765"/>
      <c r="BN765"/>
      <c r="BO765"/>
      <c r="BP765"/>
      <c r="BQ765"/>
      <c r="BR765"/>
      <c r="BS765"/>
      <c r="BT765"/>
      <c r="BU765"/>
      <c r="BV765"/>
      <c r="BW765"/>
      <c r="BX765"/>
      <c r="BY765"/>
      <c r="BZ765"/>
    </row>
    <row r="766" spans="4:78" x14ac:dyDescent="0.25">
      <c r="D766"/>
      <c r="E766"/>
      <c r="F766"/>
      <c r="G766"/>
      <c r="H766"/>
      <c r="I766"/>
      <c r="J766"/>
      <c r="K766"/>
      <c r="L766"/>
      <c r="M766"/>
      <c r="N766"/>
      <c r="O766"/>
      <c r="P766"/>
      <c r="Q766"/>
      <c r="R766"/>
      <c r="S766"/>
      <c r="T766"/>
      <c r="U766"/>
      <c r="V766"/>
      <c r="W766"/>
      <c r="X766"/>
      <c r="Y766"/>
      <c r="Z766"/>
      <c r="AA766"/>
      <c r="AB766"/>
      <c r="AC766"/>
      <c r="AD766"/>
      <c r="AE766"/>
      <c r="AF766"/>
      <c r="AG766"/>
      <c r="AH766"/>
      <c r="AI766"/>
      <c r="AJ766"/>
      <c r="AK766"/>
      <c r="AL766"/>
      <c r="AM766"/>
      <c r="AN766"/>
      <c r="AO766"/>
      <c r="AP766"/>
      <c r="AQ766"/>
      <c r="AR766"/>
      <c r="AS766"/>
      <c r="AT766"/>
      <c r="AU766"/>
      <c r="AV766"/>
      <c r="AW766"/>
      <c r="AX766"/>
      <c r="AY766"/>
      <c r="AZ766"/>
      <c r="BA766"/>
      <c r="BB766"/>
      <c r="BC766"/>
      <c r="BD766"/>
      <c r="BE766"/>
      <c r="BF766"/>
      <c r="BG766"/>
      <c r="BH766"/>
      <c r="BI766"/>
      <c r="BJ766"/>
      <c r="BK766"/>
      <c r="BL766"/>
      <c r="BM766"/>
      <c r="BN766"/>
      <c r="BO766"/>
      <c r="BP766"/>
      <c r="BQ766"/>
      <c r="BR766"/>
      <c r="BS766"/>
      <c r="BT766"/>
      <c r="BU766"/>
      <c r="BV766"/>
      <c r="BW766"/>
      <c r="BX766"/>
      <c r="BY766"/>
      <c r="BZ766"/>
    </row>
    <row r="767" spans="4:78" x14ac:dyDescent="0.25">
      <c r="D767"/>
      <c r="E767"/>
      <c r="F767"/>
      <c r="G767"/>
      <c r="H767"/>
      <c r="I767"/>
      <c r="J767"/>
      <c r="K767"/>
      <c r="L767"/>
      <c r="M767"/>
      <c r="N767"/>
      <c r="O767"/>
      <c r="P767"/>
      <c r="Q767"/>
      <c r="R767"/>
      <c r="S767"/>
      <c r="T767"/>
      <c r="U767"/>
      <c r="V767"/>
      <c r="W767"/>
      <c r="X767"/>
      <c r="Y767"/>
      <c r="Z767"/>
      <c r="AA767"/>
      <c r="AB767"/>
      <c r="AC767"/>
      <c r="AD767"/>
      <c r="AE767"/>
      <c r="AF767"/>
      <c r="AG767"/>
      <c r="AH767"/>
      <c r="AI767"/>
      <c r="AJ767"/>
      <c r="AK767"/>
      <c r="AL767"/>
      <c r="AM767"/>
      <c r="AN767"/>
      <c r="AO767"/>
      <c r="AP767"/>
      <c r="AQ767"/>
      <c r="AR767"/>
      <c r="AS767"/>
      <c r="AT767"/>
      <c r="AU767"/>
      <c r="AV767"/>
      <c r="AW767"/>
      <c r="AX767"/>
      <c r="AY767"/>
      <c r="AZ767"/>
      <c r="BA767"/>
      <c r="BB767"/>
      <c r="BC767"/>
      <c r="BD767"/>
      <c r="BE767"/>
      <c r="BF767"/>
      <c r="BG767"/>
      <c r="BH767"/>
      <c r="BI767"/>
      <c r="BJ767"/>
      <c r="BK767"/>
      <c r="BL767"/>
      <c r="BM767"/>
      <c r="BN767"/>
      <c r="BO767"/>
      <c r="BP767"/>
      <c r="BQ767"/>
      <c r="BR767"/>
      <c r="BS767"/>
      <c r="BT767"/>
      <c r="BU767"/>
      <c r="BV767"/>
      <c r="BW767"/>
      <c r="BX767"/>
      <c r="BY767"/>
      <c r="BZ767"/>
    </row>
    <row r="768" spans="4:78" x14ac:dyDescent="0.25">
      <c r="D768"/>
      <c r="E768"/>
      <c r="F768"/>
      <c r="G768"/>
      <c r="H768"/>
      <c r="I768"/>
      <c r="J768"/>
      <c r="K768"/>
      <c r="L768"/>
      <c r="M768"/>
      <c r="N768"/>
      <c r="O768"/>
      <c r="P768"/>
      <c r="Q768"/>
      <c r="R768"/>
      <c r="S768"/>
      <c r="T768"/>
      <c r="U768"/>
      <c r="V768"/>
      <c r="W768"/>
      <c r="X768"/>
      <c r="Y768"/>
      <c r="Z768"/>
      <c r="AA768"/>
      <c r="AB768"/>
      <c r="AC768"/>
      <c r="AD768"/>
      <c r="AE768"/>
      <c r="AF768"/>
      <c r="AG768"/>
      <c r="AH768"/>
      <c r="AI768"/>
      <c r="AJ768"/>
      <c r="AK768"/>
      <c r="AL768"/>
      <c r="AM768"/>
      <c r="AN768"/>
      <c r="AO768"/>
      <c r="AP768"/>
      <c r="AQ768"/>
      <c r="AR768"/>
      <c r="AS768"/>
      <c r="AT768"/>
      <c r="AU768"/>
      <c r="AV768"/>
      <c r="AW768"/>
      <c r="AX768"/>
      <c r="AY768"/>
      <c r="AZ768"/>
      <c r="BA768"/>
      <c r="BB768"/>
      <c r="BC768"/>
      <c r="BD768"/>
      <c r="BE768"/>
      <c r="BF768"/>
      <c r="BG768"/>
      <c r="BH768"/>
      <c r="BI768"/>
      <c r="BJ768"/>
      <c r="BK768"/>
      <c r="BL768"/>
      <c r="BM768"/>
      <c r="BN768"/>
      <c r="BO768"/>
      <c r="BP768"/>
      <c r="BQ768"/>
      <c r="BR768"/>
      <c r="BS768"/>
      <c r="BT768"/>
      <c r="BU768"/>
      <c r="BV768"/>
      <c r="BW768"/>
      <c r="BX768"/>
      <c r="BY768"/>
      <c r="BZ768"/>
    </row>
    <row r="769" spans="4:78" x14ac:dyDescent="0.25">
      <c r="D769"/>
      <c r="E769"/>
      <c r="F769"/>
      <c r="G769"/>
      <c r="H769"/>
      <c r="I769"/>
      <c r="J769"/>
      <c r="K769"/>
      <c r="L769"/>
      <c r="M769"/>
      <c r="N769"/>
      <c r="O769"/>
      <c r="P769"/>
      <c r="Q769"/>
      <c r="R769"/>
      <c r="S769"/>
      <c r="T769"/>
      <c r="U769"/>
      <c r="V769"/>
      <c r="W769"/>
      <c r="X769"/>
      <c r="Y769"/>
      <c r="Z769"/>
      <c r="AA769"/>
      <c r="AB769"/>
      <c r="AC769"/>
      <c r="AD769"/>
      <c r="AE769"/>
      <c r="AF769"/>
      <c r="AG769"/>
      <c r="AH769"/>
      <c r="AI769"/>
      <c r="AJ769"/>
      <c r="AK769"/>
      <c r="AL769"/>
      <c r="AM769"/>
      <c r="AN769"/>
      <c r="AO769"/>
      <c r="AP769"/>
      <c r="AQ769"/>
      <c r="AR769"/>
      <c r="AS769"/>
      <c r="AT769"/>
      <c r="AU769"/>
      <c r="AV769"/>
      <c r="AW769"/>
      <c r="AX769"/>
      <c r="AY769"/>
      <c r="AZ769"/>
      <c r="BA769"/>
      <c r="BB769"/>
      <c r="BC769"/>
      <c r="BD769"/>
      <c r="BE769"/>
      <c r="BF769"/>
      <c r="BG769"/>
      <c r="BH769"/>
      <c r="BI769"/>
      <c r="BJ769"/>
      <c r="BK769"/>
      <c r="BL769"/>
      <c r="BM769"/>
      <c r="BN769"/>
      <c r="BO769"/>
      <c r="BP769"/>
      <c r="BQ769"/>
      <c r="BR769"/>
      <c r="BS769"/>
      <c r="BT769"/>
      <c r="BU769"/>
      <c r="BV769"/>
      <c r="BW769"/>
      <c r="BX769"/>
      <c r="BY769"/>
      <c r="BZ769"/>
    </row>
    <row r="770" spans="4:78" x14ac:dyDescent="0.25">
      <c r="D770"/>
      <c r="E770"/>
      <c r="F770"/>
      <c r="G770"/>
      <c r="H770"/>
      <c r="I770"/>
      <c r="J770"/>
      <c r="K770"/>
      <c r="L770"/>
      <c r="M770"/>
      <c r="N770"/>
      <c r="O770"/>
      <c r="P770"/>
      <c r="Q770"/>
      <c r="R770"/>
      <c r="S770"/>
      <c r="T770"/>
      <c r="U770"/>
      <c r="V770"/>
      <c r="W770"/>
      <c r="X770"/>
      <c r="Y770"/>
      <c r="Z770"/>
      <c r="AA770"/>
      <c r="AB770"/>
      <c r="AC770"/>
      <c r="AD770"/>
      <c r="AE770"/>
      <c r="AF770"/>
      <c r="AG770"/>
      <c r="AH770"/>
      <c r="AI770"/>
      <c r="AJ770"/>
      <c r="AK770"/>
      <c r="AL770"/>
      <c r="AM770"/>
      <c r="AN770"/>
      <c r="AO770"/>
      <c r="AP770"/>
      <c r="AQ770"/>
      <c r="AR770"/>
      <c r="AS770"/>
      <c r="AT770"/>
      <c r="AU770"/>
      <c r="AV770"/>
      <c r="AW770"/>
      <c r="AX770"/>
      <c r="AY770"/>
      <c r="AZ770"/>
      <c r="BA770"/>
      <c r="BB770"/>
      <c r="BC770"/>
      <c r="BD770"/>
      <c r="BE770"/>
      <c r="BF770"/>
      <c r="BG770"/>
      <c r="BH770"/>
      <c r="BI770"/>
      <c r="BJ770"/>
      <c r="BK770"/>
      <c r="BL770"/>
      <c r="BM770"/>
      <c r="BN770"/>
      <c r="BO770"/>
      <c r="BP770"/>
      <c r="BQ770"/>
      <c r="BR770"/>
      <c r="BS770"/>
      <c r="BT770"/>
      <c r="BU770"/>
      <c r="BV770"/>
      <c r="BW770"/>
      <c r="BX770"/>
      <c r="BY770"/>
      <c r="BZ770"/>
    </row>
    <row r="771" spans="4:78" x14ac:dyDescent="0.25">
      <c r="D771"/>
      <c r="E771"/>
      <c r="F771"/>
      <c r="G771"/>
      <c r="H771"/>
      <c r="I771"/>
      <c r="J771"/>
      <c r="K771"/>
      <c r="L771"/>
      <c r="M771"/>
      <c r="N771"/>
      <c r="O771"/>
      <c r="P771"/>
      <c r="Q771"/>
      <c r="R771"/>
      <c r="S771"/>
      <c r="T771"/>
      <c r="U771"/>
      <c r="V771"/>
      <c r="W771"/>
      <c r="X771"/>
      <c r="Y771"/>
      <c r="Z771"/>
      <c r="AA771"/>
      <c r="AB771"/>
      <c r="AC771"/>
      <c r="AD771"/>
      <c r="AE771"/>
      <c r="AF771"/>
      <c r="AG771"/>
      <c r="AH771"/>
      <c r="AI771"/>
      <c r="AJ771"/>
      <c r="AK771"/>
      <c r="AL771"/>
      <c r="AM771"/>
      <c r="AN771"/>
      <c r="AO771"/>
      <c r="AP771"/>
      <c r="AQ771"/>
      <c r="AR771"/>
      <c r="AS771"/>
      <c r="AT771"/>
      <c r="AU771"/>
      <c r="AV771"/>
      <c r="AW771"/>
      <c r="AX771"/>
      <c r="AY771"/>
      <c r="AZ771"/>
      <c r="BA771"/>
      <c r="BB771"/>
      <c r="BC771"/>
      <c r="BD771"/>
      <c r="BE771"/>
      <c r="BF771"/>
      <c r="BG771"/>
      <c r="BH771"/>
      <c r="BI771"/>
      <c r="BJ771"/>
      <c r="BK771"/>
      <c r="BL771"/>
      <c r="BM771"/>
      <c r="BN771"/>
      <c r="BO771"/>
      <c r="BP771"/>
      <c r="BQ771"/>
      <c r="BR771"/>
      <c r="BS771"/>
      <c r="BT771"/>
      <c r="BU771"/>
      <c r="BV771"/>
      <c r="BW771"/>
      <c r="BX771"/>
      <c r="BY771"/>
      <c r="BZ771"/>
    </row>
    <row r="772" spans="4:78" x14ac:dyDescent="0.25">
      <c r="D772"/>
      <c r="E772"/>
      <c r="F772"/>
      <c r="G772"/>
      <c r="H772"/>
      <c r="I772"/>
      <c r="J772"/>
      <c r="K772"/>
      <c r="L772"/>
      <c r="M772"/>
      <c r="N772"/>
      <c r="O772"/>
      <c r="P772"/>
      <c r="Q772"/>
      <c r="R772"/>
      <c r="S772"/>
      <c r="T772"/>
      <c r="U772"/>
      <c r="V772"/>
      <c r="W772"/>
      <c r="X772"/>
      <c r="Y772"/>
      <c r="Z772"/>
      <c r="AA772"/>
      <c r="AB772"/>
      <c r="AC772"/>
      <c r="AD772"/>
      <c r="AE772"/>
      <c r="AF772"/>
      <c r="AG772"/>
      <c r="AH772"/>
      <c r="AI772"/>
      <c r="AJ772"/>
      <c r="AK772"/>
      <c r="AL772"/>
      <c r="AM772"/>
      <c r="AN772"/>
      <c r="AO772"/>
      <c r="AP772"/>
      <c r="AQ772"/>
      <c r="AR772"/>
      <c r="AS772"/>
      <c r="AT772"/>
      <c r="AU772"/>
      <c r="AV772"/>
      <c r="AW772"/>
      <c r="AX772"/>
      <c r="AY772"/>
      <c r="AZ772"/>
      <c r="BA772"/>
      <c r="BB772"/>
      <c r="BC772"/>
      <c r="BD772"/>
      <c r="BE772"/>
      <c r="BF772"/>
      <c r="BG772"/>
      <c r="BH772"/>
      <c r="BI772"/>
      <c r="BJ772"/>
      <c r="BK772"/>
      <c r="BL772"/>
      <c r="BM772"/>
      <c r="BN772"/>
      <c r="BO772"/>
      <c r="BP772"/>
      <c r="BQ772"/>
      <c r="BR772"/>
      <c r="BS772"/>
      <c r="BT772"/>
      <c r="BU772"/>
      <c r="BV772"/>
      <c r="BW772"/>
      <c r="BX772"/>
      <c r="BY772"/>
      <c r="BZ772"/>
    </row>
    <row r="773" spans="4:78" x14ac:dyDescent="0.25">
      <c r="D773"/>
      <c r="E773"/>
      <c r="F773"/>
      <c r="G773"/>
      <c r="H773"/>
      <c r="I773"/>
      <c r="J773"/>
      <c r="K773"/>
      <c r="L773"/>
      <c r="M773"/>
      <c r="N773"/>
      <c r="O773"/>
      <c r="P773"/>
      <c r="Q773"/>
      <c r="R773"/>
      <c r="S773"/>
      <c r="T773"/>
      <c r="U773"/>
      <c r="V773"/>
      <c r="W773"/>
      <c r="X773"/>
      <c r="Y773"/>
      <c r="Z773"/>
      <c r="AA773"/>
      <c r="AB773"/>
      <c r="AC773"/>
      <c r="AD773"/>
      <c r="AE773"/>
      <c r="AF773"/>
      <c r="AG773"/>
      <c r="AH773"/>
      <c r="AI773"/>
      <c r="AJ773"/>
      <c r="AK773"/>
      <c r="AL773"/>
      <c r="AM773"/>
      <c r="AN773"/>
      <c r="AO773"/>
      <c r="AP773"/>
      <c r="AQ773"/>
      <c r="AR773"/>
      <c r="AS773"/>
      <c r="AT773"/>
      <c r="AU773"/>
      <c r="AV773"/>
      <c r="AW773"/>
      <c r="AX773"/>
      <c r="AY773"/>
      <c r="AZ773"/>
      <c r="BA773"/>
      <c r="BB773"/>
      <c r="BC773"/>
      <c r="BD773"/>
      <c r="BE773"/>
      <c r="BF773"/>
      <c r="BG773"/>
      <c r="BH773"/>
      <c r="BI773"/>
      <c r="BJ773"/>
      <c r="BK773"/>
      <c r="BL773"/>
      <c r="BM773"/>
      <c r="BN773"/>
      <c r="BO773"/>
      <c r="BP773"/>
      <c r="BQ773"/>
      <c r="BR773"/>
      <c r="BS773"/>
      <c r="BT773"/>
      <c r="BU773"/>
      <c r="BV773"/>
      <c r="BW773"/>
      <c r="BX773"/>
      <c r="BY773"/>
      <c r="BZ773"/>
    </row>
    <row r="774" spans="4:78" x14ac:dyDescent="0.25">
      <c r="D774"/>
      <c r="E774"/>
      <c r="F774"/>
      <c r="G774"/>
      <c r="H774"/>
      <c r="I774"/>
      <c r="J774"/>
      <c r="K774"/>
      <c r="L774"/>
      <c r="M774"/>
      <c r="N774"/>
      <c r="O774"/>
      <c r="P774"/>
      <c r="Q774"/>
      <c r="R774"/>
      <c r="S774"/>
      <c r="T774"/>
      <c r="U774"/>
      <c r="V774"/>
      <c r="W774"/>
      <c r="X774"/>
      <c r="Y774"/>
      <c r="Z774"/>
      <c r="AA774"/>
      <c r="AB774"/>
      <c r="AC774"/>
      <c r="AD774"/>
      <c r="AE774"/>
      <c r="AF774"/>
      <c r="AG774"/>
      <c r="AH774"/>
      <c r="AI774"/>
      <c r="AJ774"/>
      <c r="AK774"/>
      <c r="AL774"/>
      <c r="AM774"/>
      <c r="AN774"/>
      <c r="AO774"/>
      <c r="AP774"/>
      <c r="AQ774"/>
      <c r="AR774"/>
      <c r="AS774"/>
      <c r="AT774"/>
      <c r="AU774"/>
      <c r="AV774"/>
      <c r="AW774"/>
      <c r="AX774"/>
      <c r="AY774"/>
      <c r="AZ774"/>
      <c r="BA774"/>
      <c r="BB774"/>
      <c r="BC774"/>
      <c r="BD774"/>
      <c r="BE774"/>
      <c r="BF774"/>
      <c r="BG774"/>
      <c r="BH774"/>
      <c r="BI774"/>
      <c r="BJ774"/>
      <c r="BK774"/>
      <c r="BL774"/>
      <c r="BM774"/>
      <c r="BN774"/>
      <c r="BO774"/>
      <c r="BP774"/>
      <c r="BQ774"/>
      <c r="BR774"/>
      <c r="BS774"/>
      <c r="BT774"/>
      <c r="BU774"/>
      <c r="BV774"/>
      <c r="BW774"/>
      <c r="BX774"/>
      <c r="BY774"/>
      <c r="BZ774"/>
    </row>
    <row r="775" spans="4:78" x14ac:dyDescent="0.25">
      <c r="D775"/>
      <c r="E775"/>
      <c r="F775"/>
      <c r="G775"/>
      <c r="H775"/>
      <c r="I775"/>
      <c r="J775"/>
      <c r="K775"/>
      <c r="L775"/>
      <c r="M775"/>
      <c r="N775"/>
      <c r="O775"/>
      <c r="P775"/>
      <c r="Q775"/>
      <c r="R775"/>
      <c r="S775"/>
      <c r="T775"/>
      <c r="U775"/>
      <c r="V775"/>
      <c r="W775"/>
      <c r="X775"/>
      <c r="Y775"/>
      <c r="Z775"/>
      <c r="AA775"/>
      <c r="AB775"/>
      <c r="AC775"/>
      <c r="AD775"/>
      <c r="AE775"/>
      <c r="AF775"/>
      <c r="AG775"/>
      <c r="AH775"/>
      <c r="AI775"/>
      <c r="AJ775"/>
      <c r="AK775"/>
      <c r="AL775"/>
      <c r="AM775"/>
      <c r="AN775"/>
      <c r="AO775"/>
      <c r="AP775"/>
      <c r="AQ775"/>
      <c r="AR775"/>
      <c r="AS775"/>
      <c r="AT775"/>
      <c r="AU775"/>
      <c r="AV775"/>
      <c r="AW775"/>
      <c r="AX775"/>
      <c r="AY775"/>
      <c r="AZ775"/>
      <c r="BA775"/>
      <c r="BB775"/>
      <c r="BC775"/>
      <c r="BD775"/>
      <c r="BE775"/>
      <c r="BF775"/>
      <c r="BG775"/>
      <c r="BH775"/>
      <c r="BI775"/>
      <c r="BJ775"/>
      <c r="BK775"/>
      <c r="BL775"/>
      <c r="BM775"/>
      <c r="BN775"/>
      <c r="BO775"/>
      <c r="BP775"/>
      <c r="BQ775"/>
      <c r="BR775"/>
      <c r="BS775"/>
      <c r="BT775"/>
      <c r="BU775"/>
      <c r="BV775"/>
      <c r="BW775"/>
      <c r="BX775"/>
      <c r="BY775"/>
      <c r="BZ775"/>
    </row>
    <row r="776" spans="4:78" x14ac:dyDescent="0.25">
      <c r="D776"/>
      <c r="E776"/>
      <c r="F776"/>
      <c r="G776"/>
      <c r="H776"/>
      <c r="I776"/>
      <c r="J776"/>
      <c r="K776"/>
      <c r="L776"/>
      <c r="M776"/>
      <c r="N776"/>
      <c r="O776"/>
      <c r="P776"/>
      <c r="Q776"/>
      <c r="R776"/>
      <c r="S776"/>
      <c r="T776"/>
      <c r="U776"/>
      <c r="V776"/>
      <c r="W776"/>
      <c r="X776"/>
      <c r="Y776"/>
      <c r="Z776"/>
      <c r="AA776"/>
      <c r="AB776"/>
      <c r="AC776"/>
      <c r="AD776"/>
      <c r="AE776"/>
      <c r="AF776"/>
      <c r="AG776"/>
      <c r="AH776"/>
      <c r="AI776"/>
      <c r="AJ776"/>
      <c r="AK776"/>
      <c r="AL776"/>
      <c r="AM776"/>
      <c r="AN776"/>
      <c r="AO776"/>
      <c r="AP776"/>
      <c r="AQ776"/>
      <c r="AR776"/>
      <c r="AS776"/>
      <c r="AT776"/>
      <c r="AU776"/>
      <c r="AV776"/>
      <c r="AW776"/>
      <c r="AX776"/>
      <c r="AY776"/>
      <c r="AZ776"/>
      <c r="BA776"/>
      <c r="BB776"/>
      <c r="BC776"/>
      <c r="BD776"/>
      <c r="BE776"/>
      <c r="BF776"/>
      <c r="BG776"/>
      <c r="BH776"/>
      <c r="BI776"/>
      <c r="BJ776"/>
      <c r="BK776"/>
      <c r="BL776"/>
      <c r="BM776"/>
      <c r="BN776"/>
      <c r="BO776"/>
      <c r="BP776"/>
      <c r="BQ776"/>
      <c r="BR776"/>
      <c r="BS776"/>
      <c r="BT776"/>
      <c r="BU776"/>
      <c r="BV776"/>
      <c r="BW776"/>
      <c r="BX776"/>
      <c r="BY776"/>
      <c r="BZ776"/>
    </row>
    <row r="777" spans="4:78" x14ac:dyDescent="0.25">
      <c r="D777"/>
      <c r="E777"/>
      <c r="F777"/>
      <c r="G777"/>
      <c r="H777"/>
      <c r="I777"/>
      <c r="J777"/>
      <c r="K777"/>
      <c r="L777"/>
      <c r="M777"/>
      <c r="N777"/>
      <c r="O777"/>
      <c r="P777"/>
      <c r="Q777"/>
      <c r="R777"/>
      <c r="S777"/>
      <c r="T777"/>
      <c r="U777"/>
      <c r="V777"/>
      <c r="W777"/>
      <c r="X777"/>
      <c r="Y777"/>
      <c r="Z777"/>
      <c r="AA777"/>
      <c r="AB777"/>
      <c r="AC777"/>
      <c r="AD777"/>
      <c r="AE777"/>
      <c r="AF777"/>
      <c r="AG777"/>
      <c r="AH777"/>
      <c r="AI777"/>
      <c r="AJ777"/>
      <c r="AK777"/>
      <c r="AL777"/>
      <c r="AM777"/>
      <c r="AN777"/>
      <c r="AO777"/>
      <c r="AP777"/>
      <c r="AQ777"/>
      <c r="AR777"/>
      <c r="AS777"/>
      <c r="AT777"/>
      <c r="AU777"/>
      <c r="AV777"/>
      <c r="AW777"/>
      <c r="AX777"/>
      <c r="AY777"/>
      <c r="AZ777"/>
      <c r="BA777"/>
      <c r="BB777"/>
      <c r="BC777"/>
      <c r="BD777"/>
      <c r="BE777"/>
      <c r="BF777"/>
      <c r="BG777"/>
      <c r="BH777"/>
      <c r="BI777"/>
      <c r="BJ777"/>
      <c r="BK777"/>
      <c r="BL777"/>
      <c r="BM777"/>
      <c r="BN777"/>
      <c r="BO777"/>
      <c r="BP777"/>
      <c r="BQ777"/>
      <c r="BR777"/>
      <c r="BS777"/>
      <c r="BT777"/>
      <c r="BU777"/>
      <c r="BV777"/>
      <c r="BW777"/>
      <c r="BX777"/>
      <c r="BY777"/>
      <c r="BZ777"/>
    </row>
    <row r="778" spans="4:78" x14ac:dyDescent="0.25">
      <c r="D778"/>
      <c r="E778"/>
      <c r="F778"/>
      <c r="G778"/>
      <c r="H778"/>
      <c r="I778"/>
      <c r="J778"/>
      <c r="K778"/>
      <c r="L778"/>
      <c r="M778"/>
      <c r="N778"/>
      <c r="O778"/>
      <c r="P778"/>
      <c r="Q778"/>
      <c r="R778"/>
      <c r="S778"/>
      <c r="T778"/>
      <c r="U778"/>
      <c r="V778"/>
      <c r="W778"/>
      <c r="X778"/>
      <c r="Y778"/>
      <c r="Z778"/>
      <c r="AA778"/>
      <c r="AB778"/>
      <c r="AC778"/>
      <c r="AD778"/>
      <c r="AE778"/>
      <c r="AF778"/>
      <c r="AG778"/>
      <c r="AH778"/>
      <c r="AI778"/>
      <c r="AJ778"/>
      <c r="AK778"/>
      <c r="AL778"/>
      <c r="AM778"/>
      <c r="AN778"/>
      <c r="AO778"/>
      <c r="AP778"/>
      <c r="AQ778"/>
      <c r="AR778"/>
      <c r="AS778"/>
      <c r="AT778"/>
      <c r="AU778"/>
      <c r="AV778"/>
      <c r="AW778"/>
      <c r="AX778"/>
      <c r="AY778"/>
      <c r="AZ778"/>
      <c r="BA778"/>
      <c r="BB778"/>
      <c r="BC778"/>
      <c r="BD778"/>
      <c r="BE778"/>
      <c r="BF778"/>
      <c r="BG778"/>
      <c r="BH778"/>
      <c r="BI778"/>
      <c r="BJ778"/>
      <c r="BK778"/>
      <c r="BL778"/>
      <c r="BM778"/>
      <c r="BN778"/>
      <c r="BO778"/>
      <c r="BP778"/>
      <c r="BQ778"/>
      <c r="BR778"/>
      <c r="BS778"/>
      <c r="BT778"/>
      <c r="BU778"/>
      <c r="BV778"/>
      <c r="BW778"/>
      <c r="BX778"/>
      <c r="BY778"/>
      <c r="BZ778"/>
    </row>
    <row r="779" spans="4:78" x14ac:dyDescent="0.25">
      <c r="D779"/>
      <c r="E779"/>
      <c r="F779"/>
      <c r="G779"/>
      <c r="H779"/>
      <c r="I779"/>
      <c r="J779"/>
      <c r="K779"/>
      <c r="L779"/>
      <c r="M779"/>
      <c r="N779"/>
      <c r="O779"/>
      <c r="P779"/>
      <c r="Q779"/>
      <c r="R779"/>
      <c r="S779"/>
      <c r="T779"/>
      <c r="U779"/>
      <c r="V779"/>
      <c r="W779"/>
      <c r="X779"/>
      <c r="Y779"/>
      <c r="Z779"/>
      <c r="AA779"/>
      <c r="AB779"/>
      <c r="AC779"/>
      <c r="AD779"/>
      <c r="AE779"/>
      <c r="AF779"/>
      <c r="AG779"/>
      <c r="AH779"/>
      <c r="AI779"/>
      <c r="AJ779"/>
      <c r="AK779"/>
      <c r="AL779"/>
      <c r="AM779"/>
      <c r="AN779"/>
      <c r="AO779"/>
      <c r="AP779"/>
      <c r="AQ779"/>
      <c r="AR779"/>
      <c r="AS779"/>
      <c r="AT779"/>
      <c r="AU779"/>
      <c r="AV779"/>
      <c r="AW779"/>
      <c r="AX779"/>
      <c r="AY779"/>
      <c r="AZ779"/>
      <c r="BA779"/>
      <c r="BB779"/>
      <c r="BC779"/>
      <c r="BD779"/>
      <c r="BE779"/>
      <c r="BF779"/>
      <c r="BG779"/>
      <c r="BH779"/>
      <c r="BI779"/>
      <c r="BJ779"/>
      <c r="BK779"/>
      <c r="BL779"/>
      <c r="BM779"/>
      <c r="BN779"/>
      <c r="BO779"/>
      <c r="BP779"/>
      <c r="BQ779"/>
      <c r="BR779"/>
      <c r="BS779"/>
      <c r="BT779"/>
      <c r="BU779"/>
      <c r="BV779"/>
      <c r="BW779"/>
      <c r="BX779"/>
      <c r="BY779"/>
      <c r="BZ779"/>
    </row>
    <row r="780" spans="4:78" x14ac:dyDescent="0.25">
      <c r="D780"/>
      <c r="E780"/>
      <c r="F780"/>
      <c r="G780"/>
      <c r="H780"/>
      <c r="I780"/>
      <c r="J780"/>
      <c r="K780"/>
      <c r="L780"/>
      <c r="M780"/>
      <c r="N780"/>
      <c r="O780"/>
      <c r="P780"/>
      <c r="Q780"/>
      <c r="R780"/>
      <c r="S780"/>
      <c r="T780"/>
      <c r="U780"/>
      <c r="V780"/>
      <c r="W780"/>
      <c r="X780"/>
      <c r="Y780"/>
      <c r="Z780"/>
      <c r="AA780"/>
      <c r="AB780"/>
      <c r="AC780"/>
      <c r="AD780"/>
      <c r="AE780"/>
      <c r="AF780"/>
      <c r="AG780"/>
      <c r="AH780"/>
      <c r="AI780"/>
      <c r="AJ780"/>
      <c r="AK780"/>
      <c r="AL780"/>
      <c r="AM780"/>
      <c r="AN780"/>
      <c r="AO780"/>
      <c r="AP780"/>
      <c r="AQ780"/>
      <c r="AR780"/>
      <c r="AS780"/>
      <c r="AT780"/>
      <c r="AU780"/>
      <c r="AV780"/>
      <c r="AW780"/>
      <c r="AX780"/>
      <c r="AY780"/>
      <c r="AZ780"/>
      <c r="BA780"/>
      <c r="BB780"/>
      <c r="BC780"/>
      <c r="BD780"/>
      <c r="BE780"/>
      <c r="BF780"/>
      <c r="BG780"/>
      <c r="BH780"/>
      <c r="BI780"/>
      <c r="BJ780"/>
      <c r="BK780"/>
      <c r="BL780"/>
      <c r="BM780"/>
      <c r="BN780"/>
      <c r="BO780"/>
      <c r="BP780"/>
      <c r="BQ780"/>
      <c r="BR780"/>
      <c r="BS780"/>
      <c r="BT780"/>
      <c r="BU780"/>
      <c r="BV780"/>
      <c r="BW780"/>
      <c r="BX780"/>
      <c r="BY780"/>
      <c r="BZ780"/>
    </row>
    <row r="781" spans="4:78" x14ac:dyDescent="0.25">
      <c r="D781"/>
      <c r="E781"/>
      <c r="F781"/>
      <c r="G781"/>
      <c r="H781"/>
      <c r="I781"/>
      <c r="J781"/>
      <c r="K781"/>
      <c r="L781"/>
      <c r="M781"/>
      <c r="N781"/>
      <c r="O781"/>
      <c r="P781"/>
      <c r="Q781"/>
      <c r="R781"/>
      <c r="S781"/>
      <c r="T781"/>
      <c r="U781"/>
      <c r="V781"/>
      <c r="W781"/>
      <c r="X781"/>
      <c r="Y781"/>
      <c r="Z781"/>
      <c r="AA781"/>
      <c r="AB781"/>
      <c r="AC781"/>
      <c r="AD781"/>
      <c r="AE781"/>
      <c r="AF781"/>
      <c r="AG781"/>
      <c r="AH781"/>
      <c r="AI781"/>
      <c r="AJ781"/>
      <c r="AK781"/>
      <c r="AL781"/>
      <c r="AM781"/>
      <c r="AN781"/>
      <c r="AO781"/>
      <c r="AP781"/>
      <c r="AQ781"/>
      <c r="AR781"/>
      <c r="AS781"/>
      <c r="AT781"/>
      <c r="AU781"/>
      <c r="AV781"/>
      <c r="AW781"/>
      <c r="AX781"/>
      <c r="AY781"/>
      <c r="AZ781"/>
      <c r="BA781"/>
      <c r="BB781"/>
      <c r="BC781"/>
      <c r="BD781"/>
      <c r="BE781"/>
      <c r="BF781"/>
      <c r="BG781"/>
      <c r="BH781"/>
      <c r="BI781"/>
      <c r="BJ781"/>
      <c r="BK781"/>
      <c r="BL781"/>
      <c r="BM781"/>
      <c r="BN781"/>
      <c r="BO781"/>
      <c r="BP781"/>
      <c r="BQ781"/>
      <c r="BR781"/>
      <c r="BS781"/>
      <c r="BT781"/>
      <c r="BU781"/>
      <c r="BV781"/>
      <c r="BW781"/>
      <c r="BX781"/>
      <c r="BY781"/>
      <c r="BZ781"/>
    </row>
    <row r="782" spans="4:78" x14ac:dyDescent="0.25">
      <c r="D782"/>
      <c r="E782"/>
      <c r="F782"/>
      <c r="G782"/>
      <c r="H782"/>
      <c r="I782"/>
      <c r="J782"/>
      <c r="K782"/>
      <c r="L782"/>
      <c r="M782"/>
      <c r="N782"/>
      <c r="O782"/>
      <c r="P782"/>
      <c r="Q782"/>
      <c r="R782"/>
      <c r="S782"/>
      <c r="T782"/>
      <c r="U782"/>
      <c r="V782"/>
      <c r="W782"/>
      <c r="X782"/>
      <c r="Y782"/>
      <c r="Z782"/>
      <c r="AA782"/>
      <c r="AB782"/>
      <c r="AC782"/>
      <c r="AD782"/>
      <c r="AE782"/>
      <c r="AF782"/>
      <c r="AG782"/>
      <c r="AH782"/>
      <c r="AI782"/>
      <c r="AJ782"/>
      <c r="AK782"/>
      <c r="AL782"/>
      <c r="AM782"/>
      <c r="AN782"/>
      <c r="AO782"/>
      <c r="AP782"/>
      <c r="AQ782"/>
      <c r="AR782"/>
      <c r="AS782"/>
      <c r="AT782"/>
      <c r="AU782"/>
      <c r="AV782"/>
      <c r="AW782"/>
      <c r="AX782"/>
      <c r="AY782"/>
      <c r="AZ782"/>
      <c r="BA782"/>
      <c r="BB782"/>
      <c r="BC782"/>
      <c r="BD782"/>
      <c r="BE782"/>
      <c r="BF782"/>
      <c r="BG782"/>
      <c r="BH782"/>
      <c r="BI782"/>
      <c r="BJ782"/>
      <c r="BK782"/>
      <c r="BL782"/>
      <c r="BM782"/>
      <c r="BN782"/>
      <c r="BO782"/>
      <c r="BP782"/>
      <c r="BQ782"/>
      <c r="BR782"/>
      <c r="BS782"/>
      <c r="BT782"/>
      <c r="BU782"/>
      <c r="BV782"/>
      <c r="BW782"/>
      <c r="BX782"/>
      <c r="BY782"/>
      <c r="BZ782"/>
    </row>
    <row r="783" spans="4:78" x14ac:dyDescent="0.25">
      <c r="D783"/>
      <c r="E783"/>
      <c r="F783"/>
      <c r="G783"/>
      <c r="H783"/>
      <c r="I783"/>
      <c r="J783"/>
      <c r="K783"/>
      <c r="L783"/>
      <c r="M783"/>
      <c r="N783"/>
      <c r="O783"/>
      <c r="P783"/>
      <c r="Q783"/>
      <c r="R783"/>
      <c r="S783"/>
      <c r="T783"/>
      <c r="U783"/>
      <c r="V783"/>
      <c r="W783"/>
      <c r="X783"/>
      <c r="Y783"/>
      <c r="Z783"/>
      <c r="AA783"/>
      <c r="AB783"/>
      <c r="AC783"/>
      <c r="AD783"/>
      <c r="AE783"/>
      <c r="AF783"/>
      <c r="AG783"/>
      <c r="AH783"/>
      <c r="AI783"/>
      <c r="AJ783"/>
      <c r="AK783"/>
      <c r="AL783"/>
      <c r="AM783"/>
      <c r="AN783"/>
      <c r="AO783"/>
      <c r="AP783"/>
      <c r="AQ783"/>
      <c r="AR783"/>
      <c r="AS783"/>
      <c r="AT783"/>
      <c r="AU783"/>
      <c r="AV783"/>
      <c r="AW783"/>
      <c r="AX783"/>
      <c r="AY783"/>
      <c r="AZ783"/>
      <c r="BA783"/>
      <c r="BB783"/>
      <c r="BC783"/>
      <c r="BD783"/>
      <c r="BE783"/>
      <c r="BF783"/>
      <c r="BG783"/>
      <c r="BH783"/>
      <c r="BI783"/>
      <c r="BJ783"/>
      <c r="BK783"/>
      <c r="BL783"/>
      <c r="BM783"/>
      <c r="BN783"/>
      <c r="BO783"/>
      <c r="BP783"/>
      <c r="BQ783"/>
      <c r="BR783"/>
      <c r="BS783"/>
      <c r="BT783"/>
      <c r="BU783"/>
      <c r="BV783"/>
      <c r="BW783"/>
      <c r="BX783"/>
      <c r="BY783"/>
      <c r="BZ783"/>
    </row>
    <row r="784" spans="4:78" x14ac:dyDescent="0.25">
      <c r="D784"/>
      <c r="E784"/>
      <c r="F784"/>
      <c r="G784"/>
      <c r="H784"/>
      <c r="I784"/>
      <c r="J784"/>
      <c r="K784"/>
      <c r="L784"/>
      <c r="M784"/>
      <c r="N784"/>
      <c r="O784"/>
      <c r="P784"/>
      <c r="Q784"/>
      <c r="R784"/>
      <c r="S784"/>
      <c r="T784"/>
      <c r="U784"/>
      <c r="V784"/>
      <c r="W784"/>
      <c r="X784"/>
      <c r="Y784"/>
      <c r="Z784"/>
      <c r="AA784"/>
      <c r="AB784"/>
      <c r="AC784"/>
      <c r="AD784"/>
      <c r="AE784"/>
      <c r="AF784"/>
      <c r="AG784"/>
      <c r="AH784"/>
      <c r="AI784"/>
      <c r="AJ784"/>
      <c r="AK784"/>
      <c r="AL784"/>
      <c r="AM784"/>
      <c r="AN784"/>
      <c r="AO784"/>
      <c r="AP784"/>
      <c r="AQ784"/>
      <c r="AR784"/>
      <c r="AS784"/>
      <c r="AT784"/>
      <c r="AU784"/>
      <c r="AV784"/>
      <c r="AW784"/>
      <c r="AX784"/>
      <c r="AY784"/>
      <c r="AZ784"/>
      <c r="BA784"/>
      <c r="BB784"/>
      <c r="BC784"/>
      <c r="BD784"/>
      <c r="BE784"/>
      <c r="BF784"/>
      <c r="BG784"/>
      <c r="BH784"/>
      <c r="BI784"/>
      <c r="BJ784"/>
      <c r="BK784"/>
      <c r="BL784"/>
      <c r="BM784"/>
      <c r="BN784"/>
      <c r="BO784"/>
      <c r="BP784"/>
      <c r="BQ784"/>
      <c r="BR784"/>
      <c r="BS784"/>
      <c r="BT784"/>
      <c r="BU784"/>
      <c r="BV784"/>
      <c r="BW784"/>
      <c r="BX784"/>
      <c r="BY784"/>
      <c r="BZ784"/>
    </row>
    <row r="785" spans="4:78" x14ac:dyDescent="0.25">
      <c r="D785"/>
      <c r="E785"/>
      <c r="F785"/>
      <c r="G785"/>
      <c r="H785"/>
      <c r="I785"/>
      <c r="J785"/>
      <c r="K785"/>
      <c r="L785"/>
      <c r="M785"/>
      <c r="N785"/>
      <c r="O785"/>
      <c r="P785"/>
      <c r="Q785"/>
      <c r="R785"/>
      <c r="S785"/>
      <c r="T785"/>
      <c r="U785"/>
      <c r="V785"/>
      <c r="W785"/>
      <c r="X785"/>
      <c r="Y785"/>
      <c r="Z785"/>
      <c r="AA785"/>
      <c r="AB785"/>
      <c r="AC785"/>
      <c r="AD785"/>
      <c r="AE785"/>
      <c r="AF785"/>
      <c r="AG785"/>
      <c r="AH785"/>
      <c r="AI785"/>
      <c r="AJ785"/>
      <c r="AK785"/>
      <c r="AL785"/>
      <c r="AM785"/>
      <c r="AN785"/>
      <c r="AO785"/>
      <c r="AP785"/>
      <c r="AQ785"/>
      <c r="AR785"/>
      <c r="AS785"/>
      <c r="AT785"/>
      <c r="AU785"/>
      <c r="AV785"/>
      <c r="AW785"/>
      <c r="AX785"/>
      <c r="AY785"/>
      <c r="AZ785"/>
      <c r="BA785"/>
      <c r="BB785"/>
      <c r="BC785"/>
      <c r="BD785"/>
      <c r="BE785"/>
      <c r="BF785"/>
      <c r="BG785"/>
      <c r="BH785"/>
      <c r="BI785"/>
      <c r="BJ785"/>
      <c r="BK785"/>
      <c r="BL785"/>
      <c r="BM785"/>
      <c r="BN785"/>
      <c r="BO785"/>
      <c r="BP785"/>
      <c r="BQ785"/>
      <c r="BR785"/>
      <c r="BS785"/>
      <c r="BT785"/>
      <c r="BU785"/>
      <c r="BV785"/>
      <c r="BW785"/>
      <c r="BX785"/>
      <c r="BY785"/>
      <c r="BZ785"/>
    </row>
    <row r="786" spans="4:78" x14ac:dyDescent="0.25">
      <c r="D786"/>
      <c r="E786"/>
      <c r="F786"/>
      <c r="G786"/>
      <c r="H786"/>
      <c r="I786"/>
      <c r="J786"/>
      <c r="K786"/>
      <c r="L786"/>
      <c r="M786"/>
      <c r="N786"/>
      <c r="O786"/>
      <c r="P786"/>
      <c r="Q786"/>
      <c r="R786"/>
      <c r="S786"/>
      <c r="T786"/>
      <c r="U786"/>
      <c r="V786"/>
      <c r="W786"/>
      <c r="X786"/>
      <c r="Y786"/>
      <c r="Z786"/>
      <c r="AA786"/>
      <c r="AB786"/>
      <c r="AC786"/>
      <c r="AD786"/>
      <c r="AE786"/>
      <c r="AF786"/>
      <c r="AG786"/>
      <c r="AH786"/>
      <c r="AI786"/>
      <c r="AJ786"/>
      <c r="AK786"/>
      <c r="AL786"/>
      <c r="AM786"/>
      <c r="AN786"/>
      <c r="AO786"/>
      <c r="AP786"/>
      <c r="AQ786"/>
      <c r="AR786"/>
      <c r="AS786"/>
      <c r="AT786"/>
      <c r="AU786"/>
      <c r="AV786"/>
      <c r="AW786"/>
      <c r="AX786"/>
      <c r="AY786"/>
      <c r="AZ786"/>
      <c r="BA786"/>
      <c r="BB786"/>
      <c r="BC786"/>
      <c r="BD786"/>
      <c r="BE786"/>
      <c r="BF786"/>
      <c r="BG786"/>
      <c r="BH786"/>
      <c r="BI786"/>
      <c r="BJ786"/>
      <c r="BK786"/>
      <c r="BL786"/>
      <c r="BM786"/>
      <c r="BN786"/>
      <c r="BO786"/>
      <c r="BP786"/>
      <c r="BQ786"/>
      <c r="BR786"/>
      <c r="BS786"/>
      <c r="BT786"/>
      <c r="BU786"/>
      <c r="BV786"/>
      <c r="BW786"/>
      <c r="BX786"/>
      <c r="BY786"/>
      <c r="BZ786"/>
    </row>
    <row r="787" spans="4:78" x14ac:dyDescent="0.25">
      <c r="D787"/>
      <c r="E787"/>
      <c r="F787"/>
      <c r="G787"/>
      <c r="H787"/>
      <c r="I787"/>
      <c r="J787"/>
      <c r="K787"/>
      <c r="L787"/>
      <c r="M787"/>
      <c r="N787"/>
      <c r="O787"/>
      <c r="P787"/>
      <c r="Q787"/>
      <c r="R787"/>
      <c r="S787"/>
      <c r="T787"/>
      <c r="U787"/>
      <c r="V787"/>
      <c r="W787"/>
      <c r="X787"/>
      <c r="Y787"/>
      <c r="Z787"/>
      <c r="AA787"/>
      <c r="AB787"/>
      <c r="AC787"/>
      <c r="AD787"/>
      <c r="AE787"/>
      <c r="AF787"/>
      <c r="AG787"/>
      <c r="AH787"/>
      <c r="AI787"/>
      <c r="AJ787"/>
      <c r="AK787"/>
      <c r="AL787"/>
      <c r="AM787"/>
      <c r="AN787"/>
      <c r="AO787"/>
      <c r="AP787"/>
      <c r="AQ787"/>
      <c r="AR787"/>
      <c r="AS787"/>
      <c r="AT787"/>
      <c r="AU787"/>
      <c r="AV787"/>
      <c r="AW787"/>
      <c r="AX787"/>
      <c r="AY787"/>
      <c r="AZ787"/>
      <c r="BA787"/>
      <c r="BB787"/>
      <c r="BC787"/>
      <c r="BD787"/>
      <c r="BE787"/>
      <c r="BF787"/>
      <c r="BG787"/>
      <c r="BH787"/>
      <c r="BI787"/>
      <c r="BJ787"/>
      <c r="BK787"/>
      <c r="BL787"/>
      <c r="BM787"/>
      <c r="BN787"/>
      <c r="BO787"/>
      <c r="BP787"/>
      <c r="BQ787"/>
      <c r="BR787"/>
      <c r="BS787"/>
      <c r="BT787"/>
      <c r="BU787"/>
      <c r="BV787"/>
      <c r="BW787"/>
      <c r="BX787"/>
      <c r="BY787"/>
      <c r="BZ787"/>
    </row>
    <row r="788" spans="4:78" x14ac:dyDescent="0.25">
      <c r="D788"/>
      <c r="E788"/>
      <c r="F788"/>
      <c r="G788"/>
      <c r="H788"/>
      <c r="I788"/>
      <c r="J788"/>
      <c r="K788"/>
      <c r="L788"/>
      <c r="M788"/>
      <c r="N788"/>
      <c r="O788"/>
      <c r="P788"/>
      <c r="Q788"/>
      <c r="R788"/>
      <c r="S788"/>
      <c r="T788"/>
      <c r="U788"/>
      <c r="V788"/>
      <c r="W788"/>
      <c r="X788"/>
      <c r="Y788"/>
      <c r="Z788"/>
      <c r="AA788"/>
      <c r="AB788"/>
      <c r="AC788"/>
      <c r="AD788"/>
      <c r="AE788"/>
      <c r="AF788"/>
      <c r="AG788"/>
      <c r="AH788"/>
      <c r="AI788"/>
      <c r="AJ788"/>
      <c r="AK788"/>
      <c r="AL788"/>
      <c r="AM788"/>
      <c r="AN788"/>
      <c r="AO788"/>
      <c r="AP788"/>
      <c r="AQ788"/>
      <c r="AR788"/>
      <c r="AS788"/>
      <c r="AT788"/>
      <c r="AU788"/>
      <c r="AV788"/>
      <c r="AW788"/>
      <c r="AX788"/>
      <c r="AY788"/>
      <c r="AZ788"/>
      <c r="BA788"/>
      <c r="BB788"/>
      <c r="BC788"/>
      <c r="BD788"/>
      <c r="BE788"/>
      <c r="BF788"/>
      <c r="BG788"/>
      <c r="BH788"/>
      <c r="BI788"/>
      <c r="BJ788"/>
      <c r="BK788"/>
      <c r="BL788"/>
      <c r="BM788"/>
      <c r="BN788"/>
      <c r="BO788"/>
      <c r="BP788"/>
      <c r="BQ788"/>
      <c r="BR788"/>
      <c r="BS788"/>
      <c r="BT788"/>
      <c r="BU788"/>
      <c r="BV788"/>
      <c r="BW788"/>
      <c r="BX788"/>
      <c r="BY788"/>
      <c r="BZ788"/>
    </row>
    <row r="789" spans="4:78" x14ac:dyDescent="0.25">
      <c r="D789"/>
      <c r="E789"/>
      <c r="F789"/>
      <c r="G789"/>
      <c r="H789"/>
      <c r="I789"/>
      <c r="J789"/>
      <c r="K789"/>
      <c r="L789"/>
      <c r="M789"/>
      <c r="N789"/>
      <c r="O789"/>
      <c r="P789"/>
      <c r="Q789"/>
      <c r="R789"/>
      <c r="S789"/>
      <c r="T789"/>
      <c r="U789"/>
      <c r="V789"/>
      <c r="W789"/>
      <c r="X789"/>
      <c r="Y789"/>
      <c r="Z789"/>
      <c r="AA789"/>
      <c r="AB789"/>
      <c r="AC789"/>
      <c r="AD789"/>
      <c r="AE789"/>
      <c r="AF789"/>
      <c r="AG789"/>
      <c r="AH789"/>
      <c r="AI789"/>
      <c r="AJ789"/>
      <c r="AK789"/>
      <c r="AL789"/>
      <c r="AM789"/>
      <c r="AN789"/>
      <c r="AO789"/>
      <c r="AP789"/>
      <c r="AQ789"/>
      <c r="AR789"/>
      <c r="AS789"/>
      <c r="AT789"/>
      <c r="AU789"/>
      <c r="AV789"/>
      <c r="AW789"/>
      <c r="AX789"/>
      <c r="AY789"/>
      <c r="AZ789"/>
      <c r="BA789"/>
      <c r="BB789"/>
      <c r="BC789"/>
      <c r="BD789"/>
      <c r="BE789"/>
      <c r="BF789"/>
      <c r="BG789"/>
      <c r="BH789"/>
      <c r="BI789"/>
      <c r="BJ789"/>
      <c r="BK789"/>
      <c r="BL789"/>
      <c r="BM789"/>
      <c r="BN789"/>
      <c r="BO789"/>
      <c r="BP789"/>
      <c r="BQ789"/>
      <c r="BR789"/>
      <c r="BS789"/>
      <c r="BT789"/>
      <c r="BU789"/>
      <c r="BV789"/>
      <c r="BW789"/>
      <c r="BX789"/>
      <c r="BY789"/>
      <c r="BZ789"/>
    </row>
    <row r="790" spans="4:78" x14ac:dyDescent="0.25">
      <c r="D790"/>
      <c r="E790"/>
      <c r="F790"/>
      <c r="G790"/>
      <c r="H790"/>
      <c r="I790"/>
      <c r="J790"/>
      <c r="K790"/>
      <c r="L790"/>
      <c r="M790"/>
      <c r="N790"/>
      <c r="O790"/>
      <c r="P790"/>
      <c r="Q790"/>
      <c r="R790"/>
      <c r="S790"/>
      <c r="T790"/>
      <c r="U790"/>
      <c r="V790"/>
      <c r="W790"/>
      <c r="X790"/>
      <c r="Y790"/>
      <c r="Z790"/>
      <c r="AA790"/>
      <c r="AB790"/>
      <c r="AC790"/>
      <c r="AD790"/>
      <c r="AE790"/>
      <c r="AF790"/>
      <c r="AG790"/>
      <c r="AH790"/>
      <c r="AI790"/>
      <c r="AJ790"/>
      <c r="AK790"/>
      <c r="AL790"/>
      <c r="AM790"/>
      <c r="AN790"/>
      <c r="AO790"/>
      <c r="AP790"/>
      <c r="AQ790"/>
      <c r="AR790"/>
      <c r="AS790"/>
      <c r="AT790"/>
      <c r="AU790"/>
      <c r="AV790"/>
      <c r="AW790"/>
      <c r="AX790"/>
      <c r="AY790"/>
      <c r="AZ790"/>
      <c r="BA790"/>
      <c r="BB790"/>
      <c r="BC790"/>
      <c r="BD790"/>
      <c r="BE790"/>
      <c r="BF790"/>
      <c r="BG790"/>
      <c r="BH790"/>
      <c r="BI790"/>
      <c r="BJ790"/>
      <c r="BK790"/>
      <c r="BL790"/>
      <c r="BM790"/>
      <c r="BN790"/>
      <c r="BO790"/>
      <c r="BP790"/>
      <c r="BQ790"/>
      <c r="BR790"/>
      <c r="BS790"/>
      <c r="BT790"/>
      <c r="BU790"/>
      <c r="BV790"/>
      <c r="BW790"/>
      <c r="BX790"/>
      <c r="BY790"/>
      <c r="BZ790"/>
    </row>
    <row r="791" spans="4:78" x14ac:dyDescent="0.25">
      <c r="D791"/>
      <c r="E791"/>
      <c r="F791"/>
      <c r="G791"/>
      <c r="H791"/>
      <c r="I791"/>
      <c r="J791"/>
      <c r="K791"/>
      <c r="L791"/>
      <c r="M791"/>
      <c r="N791"/>
      <c r="O791"/>
      <c r="P791"/>
      <c r="Q791"/>
      <c r="R791"/>
      <c r="S791"/>
      <c r="T791"/>
      <c r="U791"/>
      <c r="V791"/>
      <c r="W791"/>
      <c r="X791"/>
      <c r="Y791"/>
      <c r="Z791"/>
      <c r="AA791"/>
      <c r="AB791"/>
      <c r="AC791"/>
      <c r="AD791"/>
      <c r="AE791"/>
      <c r="AF791"/>
      <c r="AG791"/>
      <c r="AH791"/>
      <c r="AI791"/>
      <c r="AJ791"/>
      <c r="AK791"/>
      <c r="AL791"/>
      <c r="AM791"/>
      <c r="AN791"/>
      <c r="AO791"/>
      <c r="AP791"/>
      <c r="AQ791"/>
      <c r="AR791"/>
      <c r="AS791"/>
      <c r="AT791"/>
      <c r="AU791"/>
      <c r="AV791"/>
      <c r="AW791"/>
      <c r="AX791"/>
      <c r="AY791"/>
      <c r="AZ791"/>
      <c r="BA791"/>
      <c r="BB791"/>
      <c r="BC791"/>
      <c r="BD791"/>
      <c r="BE791"/>
      <c r="BF791"/>
      <c r="BG791"/>
      <c r="BH791"/>
      <c r="BI791"/>
      <c r="BJ791"/>
      <c r="BK791"/>
      <c r="BL791"/>
      <c r="BM791"/>
      <c r="BN791"/>
      <c r="BO791"/>
      <c r="BP791"/>
      <c r="BQ791"/>
      <c r="BR791"/>
      <c r="BS791"/>
      <c r="BT791"/>
      <c r="BU791"/>
      <c r="BV791"/>
      <c r="BW791"/>
      <c r="BX791"/>
      <c r="BY791"/>
      <c r="BZ791"/>
    </row>
    <row r="792" spans="4:78" x14ac:dyDescent="0.25">
      <c r="D792"/>
      <c r="E792"/>
      <c r="F792"/>
      <c r="G792"/>
      <c r="H792"/>
      <c r="I792"/>
      <c r="J792"/>
      <c r="K792"/>
      <c r="L792"/>
      <c r="M792"/>
      <c r="N792"/>
      <c r="O792"/>
      <c r="P792"/>
      <c r="Q792"/>
      <c r="R792"/>
      <c r="S792"/>
      <c r="T792"/>
      <c r="U792"/>
      <c r="V792"/>
      <c r="W792"/>
      <c r="X792"/>
      <c r="Y792"/>
      <c r="Z792"/>
      <c r="AA792"/>
      <c r="AB792"/>
      <c r="AC792"/>
      <c r="AD792"/>
      <c r="AE792"/>
      <c r="AF792"/>
      <c r="AG792"/>
      <c r="AH792"/>
      <c r="AI792"/>
      <c r="AJ792"/>
      <c r="AK792"/>
      <c r="AL792"/>
      <c r="AM792"/>
      <c r="AN792"/>
      <c r="AO792"/>
      <c r="AP792"/>
      <c r="AQ792"/>
      <c r="AR792"/>
      <c r="AS792"/>
      <c r="AT792"/>
      <c r="AU792"/>
      <c r="AV792"/>
      <c r="AW792"/>
      <c r="AX792"/>
      <c r="AY792"/>
      <c r="AZ792"/>
      <c r="BA792"/>
      <c r="BB792"/>
      <c r="BC792"/>
      <c r="BD792"/>
      <c r="BE792"/>
      <c r="BF792"/>
      <c r="BG792"/>
      <c r="BH792"/>
      <c r="BI792"/>
      <c r="BJ792"/>
      <c r="BK792"/>
      <c r="BL792"/>
      <c r="BM792"/>
      <c r="BN792"/>
      <c r="BO792"/>
      <c r="BP792"/>
      <c r="BQ792"/>
      <c r="BR792"/>
      <c r="BS792"/>
      <c r="BT792"/>
      <c r="BU792"/>
      <c r="BV792"/>
      <c r="BW792"/>
      <c r="BX792"/>
      <c r="BY792"/>
      <c r="BZ792"/>
    </row>
    <row r="793" spans="4:78" x14ac:dyDescent="0.25">
      <c r="D793"/>
      <c r="E793"/>
      <c r="F793"/>
      <c r="G793"/>
      <c r="H793"/>
      <c r="I793"/>
      <c r="J793"/>
      <c r="K793"/>
      <c r="L793"/>
      <c r="M793"/>
      <c r="N793"/>
      <c r="O793"/>
      <c r="P793"/>
      <c r="Q793"/>
      <c r="R793"/>
      <c r="S793"/>
      <c r="T793"/>
      <c r="U793"/>
      <c r="V793"/>
      <c r="W793"/>
      <c r="X793"/>
      <c r="Y793"/>
      <c r="Z793"/>
      <c r="AA793"/>
      <c r="AB793"/>
      <c r="AC793"/>
      <c r="AD793"/>
      <c r="AE793"/>
      <c r="AF793"/>
      <c r="AG793"/>
      <c r="AH793"/>
      <c r="AI793"/>
      <c r="AJ793"/>
      <c r="AK793"/>
      <c r="AL793"/>
      <c r="AM793"/>
      <c r="AN793"/>
      <c r="AO793"/>
      <c r="AP793"/>
      <c r="AQ793"/>
      <c r="AR793"/>
      <c r="AS793"/>
      <c r="AT793"/>
      <c r="AU793"/>
      <c r="AV793"/>
      <c r="AW793"/>
      <c r="AX793"/>
      <c r="AY793"/>
      <c r="AZ793"/>
      <c r="BA793"/>
      <c r="BB793"/>
      <c r="BC793"/>
      <c r="BD793"/>
      <c r="BE793"/>
      <c r="BF793"/>
      <c r="BG793"/>
      <c r="BH793"/>
      <c r="BI793"/>
      <c r="BJ793"/>
      <c r="BK793"/>
      <c r="BL793"/>
      <c r="BM793"/>
      <c r="BN793"/>
      <c r="BO793"/>
      <c r="BP793"/>
      <c r="BQ793"/>
      <c r="BR793"/>
      <c r="BS793"/>
      <c r="BT793"/>
      <c r="BU793"/>
      <c r="BV793"/>
      <c r="BW793"/>
      <c r="BX793"/>
      <c r="BY793"/>
      <c r="BZ793"/>
    </row>
    <row r="794" spans="4:78" x14ac:dyDescent="0.25">
      <c r="D794"/>
      <c r="E794"/>
      <c r="F794"/>
      <c r="G794"/>
      <c r="H794"/>
      <c r="I794"/>
      <c r="J794"/>
      <c r="K794"/>
      <c r="L794"/>
      <c r="M794"/>
      <c r="N794"/>
      <c r="O794"/>
      <c r="P794"/>
      <c r="Q794"/>
      <c r="R794"/>
      <c r="S794"/>
      <c r="T794"/>
      <c r="U794"/>
      <c r="V794"/>
      <c r="W794"/>
      <c r="X794"/>
      <c r="Y794"/>
      <c r="Z794"/>
      <c r="AA794"/>
      <c r="AB794"/>
      <c r="AC794"/>
      <c r="AD794"/>
      <c r="AE794"/>
      <c r="AF794"/>
      <c r="AG794"/>
      <c r="AH794"/>
      <c r="AI794"/>
      <c r="AJ794"/>
      <c r="AK794"/>
      <c r="AL794"/>
      <c r="AM794"/>
      <c r="AN794"/>
      <c r="AO794"/>
      <c r="AP794"/>
      <c r="AQ794"/>
      <c r="AR794"/>
      <c r="AS794"/>
      <c r="AT794"/>
      <c r="AU794"/>
      <c r="AV794"/>
      <c r="AW794"/>
      <c r="AX794"/>
      <c r="AY794"/>
      <c r="AZ794"/>
      <c r="BA794"/>
      <c r="BB794"/>
      <c r="BC794"/>
      <c r="BD794"/>
      <c r="BE794"/>
      <c r="BF794"/>
      <c r="BG794"/>
      <c r="BH794"/>
      <c r="BI794"/>
      <c r="BJ794"/>
      <c r="BK794"/>
      <c r="BL794"/>
      <c r="BM794"/>
      <c r="BN794"/>
      <c r="BO794"/>
      <c r="BP794"/>
      <c r="BQ794"/>
      <c r="BR794"/>
      <c r="BS794"/>
      <c r="BT794"/>
      <c r="BU794"/>
      <c r="BV794"/>
      <c r="BW794"/>
      <c r="BX794"/>
      <c r="BY794"/>
      <c r="BZ794"/>
    </row>
    <row r="795" spans="4:78" x14ac:dyDescent="0.25">
      <c r="D795"/>
      <c r="E795"/>
      <c r="F795"/>
      <c r="G795"/>
      <c r="H795"/>
      <c r="I795"/>
      <c r="J795"/>
      <c r="K795"/>
      <c r="L795"/>
      <c r="M795"/>
      <c r="N795"/>
      <c r="O795"/>
      <c r="P795"/>
      <c r="Q795"/>
      <c r="R795"/>
      <c r="S795"/>
      <c r="T795"/>
      <c r="U795"/>
      <c r="V795"/>
      <c r="W795"/>
      <c r="X795"/>
      <c r="Y795"/>
      <c r="Z795"/>
      <c r="AA795"/>
      <c r="AB795"/>
      <c r="AC795"/>
      <c r="AD795"/>
      <c r="AE795"/>
      <c r="AF795"/>
      <c r="AG795"/>
      <c r="AH795"/>
      <c r="AI795"/>
      <c r="AJ795"/>
      <c r="AK795"/>
      <c r="AL795"/>
      <c r="AM795"/>
      <c r="AN795"/>
      <c r="AO795"/>
      <c r="AP795"/>
      <c r="AQ795"/>
      <c r="AR795"/>
      <c r="AS795"/>
      <c r="AT795"/>
      <c r="AU795"/>
      <c r="AV795"/>
      <c r="AW795"/>
      <c r="AX795"/>
      <c r="AY795"/>
      <c r="AZ795"/>
      <c r="BA795"/>
      <c r="BB795"/>
      <c r="BC795"/>
      <c r="BD795"/>
      <c r="BE795"/>
      <c r="BF795"/>
      <c r="BG795"/>
      <c r="BH795"/>
      <c r="BI795"/>
      <c r="BJ795"/>
      <c r="BK795"/>
      <c r="BL795"/>
      <c r="BM795"/>
      <c r="BN795"/>
      <c r="BO795"/>
      <c r="BP795"/>
      <c r="BQ795"/>
      <c r="BR795"/>
      <c r="BS795"/>
      <c r="BT795"/>
      <c r="BU795"/>
      <c r="BV795"/>
      <c r="BW795"/>
      <c r="BX795"/>
      <c r="BY795"/>
      <c r="BZ795"/>
    </row>
    <row r="796" spans="4:78" x14ac:dyDescent="0.25">
      <c r="D796"/>
      <c r="E796"/>
      <c r="F796"/>
      <c r="G796"/>
      <c r="H796"/>
      <c r="I796"/>
      <c r="J796"/>
      <c r="K796"/>
      <c r="L796"/>
      <c r="M796"/>
      <c r="N796"/>
      <c r="O796"/>
      <c r="P796"/>
      <c r="Q796"/>
      <c r="R796"/>
      <c r="S796"/>
      <c r="T796"/>
      <c r="U796"/>
      <c r="V796"/>
      <c r="W796"/>
      <c r="X796"/>
      <c r="Y796"/>
      <c r="Z796"/>
      <c r="AA796"/>
      <c r="AB796"/>
      <c r="AC796"/>
      <c r="AD796"/>
      <c r="AE796"/>
      <c r="AF796"/>
      <c r="AG796"/>
      <c r="AH796"/>
      <c r="AI796"/>
      <c r="AJ796"/>
      <c r="AK796"/>
      <c r="AL796"/>
      <c r="AM796"/>
      <c r="AN796"/>
      <c r="AO796"/>
      <c r="AP796"/>
      <c r="AQ796"/>
      <c r="AR796"/>
      <c r="AS796"/>
      <c r="AT796"/>
      <c r="AU796"/>
      <c r="AV796"/>
      <c r="AW796"/>
      <c r="AX796"/>
      <c r="AY796"/>
      <c r="AZ796"/>
      <c r="BA796"/>
      <c r="BB796"/>
      <c r="BC796"/>
      <c r="BD796"/>
      <c r="BE796"/>
      <c r="BF796"/>
      <c r="BG796"/>
      <c r="BH796"/>
      <c r="BI796"/>
      <c r="BJ796"/>
      <c r="BK796"/>
      <c r="BL796"/>
      <c r="BM796"/>
      <c r="BN796"/>
      <c r="BO796"/>
      <c r="BP796"/>
      <c r="BQ796"/>
      <c r="BR796"/>
      <c r="BS796"/>
      <c r="BT796"/>
      <c r="BU796"/>
      <c r="BV796"/>
      <c r="BW796"/>
      <c r="BX796"/>
      <c r="BY796"/>
      <c r="BZ796"/>
    </row>
    <row r="797" spans="4:78" x14ac:dyDescent="0.25">
      <c r="D797"/>
      <c r="E797"/>
      <c r="F797"/>
      <c r="G797"/>
      <c r="H797"/>
      <c r="I797"/>
      <c r="J797"/>
      <c r="K797"/>
      <c r="L797"/>
      <c r="M797"/>
      <c r="N797"/>
      <c r="O797"/>
      <c r="P797"/>
      <c r="Q797"/>
      <c r="R797"/>
      <c r="S797"/>
      <c r="T797"/>
      <c r="U797"/>
      <c r="V797"/>
      <c r="W797"/>
      <c r="X797"/>
      <c r="Y797"/>
      <c r="Z797"/>
      <c r="AA797"/>
      <c r="AB797"/>
      <c r="AC797"/>
      <c r="AD797"/>
      <c r="AE797"/>
      <c r="AF797"/>
      <c r="AG797"/>
      <c r="AH797"/>
      <c r="AI797"/>
      <c r="AJ797"/>
      <c r="AK797"/>
      <c r="AL797"/>
      <c r="AM797"/>
      <c r="AN797"/>
      <c r="AO797"/>
      <c r="AP797"/>
      <c r="AQ797"/>
      <c r="AR797"/>
      <c r="AS797"/>
      <c r="AT797"/>
      <c r="AU797"/>
      <c r="AV797"/>
      <c r="AW797"/>
      <c r="AX797"/>
      <c r="AY797"/>
      <c r="AZ797"/>
      <c r="BA797"/>
      <c r="BB797"/>
      <c r="BC797"/>
      <c r="BD797"/>
      <c r="BE797"/>
      <c r="BF797"/>
      <c r="BG797"/>
      <c r="BH797"/>
      <c r="BI797"/>
      <c r="BJ797"/>
      <c r="BK797"/>
      <c r="BL797"/>
      <c r="BM797"/>
      <c r="BN797"/>
      <c r="BO797"/>
      <c r="BP797"/>
      <c r="BQ797"/>
      <c r="BR797"/>
      <c r="BS797"/>
      <c r="BT797"/>
      <c r="BU797"/>
      <c r="BV797"/>
      <c r="BW797"/>
      <c r="BX797"/>
      <c r="BY797"/>
      <c r="BZ797"/>
    </row>
    <row r="798" spans="4:78" x14ac:dyDescent="0.25">
      <c r="D798"/>
      <c r="E798"/>
      <c r="F798"/>
      <c r="G798"/>
      <c r="H798"/>
      <c r="I798"/>
      <c r="J798"/>
      <c r="K798"/>
      <c r="L798"/>
      <c r="M798"/>
      <c r="N798"/>
      <c r="O798"/>
      <c r="P798"/>
      <c r="Q798"/>
      <c r="R798"/>
      <c r="S798"/>
      <c r="T798"/>
      <c r="U798"/>
      <c r="V798"/>
      <c r="W798"/>
      <c r="X798"/>
      <c r="Y798"/>
      <c r="Z798"/>
      <c r="AA798"/>
      <c r="AB798"/>
      <c r="AC798"/>
      <c r="AD798"/>
      <c r="AE798"/>
      <c r="AF798"/>
      <c r="AG798"/>
      <c r="AH798"/>
      <c r="AI798"/>
      <c r="AJ798"/>
      <c r="AK798"/>
      <c r="AL798"/>
      <c r="AM798"/>
      <c r="AN798"/>
      <c r="AO798"/>
      <c r="AP798"/>
      <c r="AQ798"/>
      <c r="AR798"/>
      <c r="AS798"/>
      <c r="AT798"/>
      <c r="AU798"/>
      <c r="AV798"/>
      <c r="AW798"/>
      <c r="AX798"/>
      <c r="AY798"/>
      <c r="AZ798"/>
      <c r="BA798"/>
      <c r="BB798"/>
      <c r="BC798"/>
      <c r="BD798"/>
      <c r="BE798"/>
      <c r="BF798"/>
      <c r="BG798"/>
      <c r="BH798"/>
      <c r="BI798"/>
      <c r="BJ798"/>
      <c r="BK798"/>
      <c r="BL798"/>
      <c r="BM798"/>
      <c r="BN798"/>
      <c r="BO798"/>
      <c r="BP798"/>
      <c r="BQ798"/>
      <c r="BR798"/>
      <c r="BS798"/>
      <c r="BT798"/>
      <c r="BU798"/>
      <c r="BV798"/>
      <c r="BW798"/>
      <c r="BX798"/>
      <c r="BY798"/>
      <c r="BZ798"/>
    </row>
    <row r="799" spans="4:78" x14ac:dyDescent="0.25">
      <c r="D799"/>
      <c r="E799"/>
      <c r="F799"/>
      <c r="G799"/>
      <c r="H799"/>
      <c r="I799"/>
      <c r="J799"/>
      <c r="K799"/>
      <c r="L799"/>
      <c r="M799"/>
      <c r="N799"/>
      <c r="O799"/>
      <c r="P799"/>
      <c r="Q799"/>
      <c r="R799"/>
      <c r="S799"/>
      <c r="T799"/>
      <c r="U799"/>
      <c r="V799"/>
      <c r="W799"/>
      <c r="X799"/>
      <c r="Y799"/>
      <c r="Z799"/>
      <c r="AA799"/>
      <c r="AB799"/>
      <c r="AC799"/>
      <c r="AD799"/>
      <c r="AE799"/>
      <c r="AF799"/>
      <c r="AG799"/>
      <c r="AH799"/>
      <c r="AI799"/>
      <c r="AJ799"/>
      <c r="AK799"/>
      <c r="AL799"/>
      <c r="AM799"/>
      <c r="AN799"/>
      <c r="AO799"/>
      <c r="AP799"/>
      <c r="AQ799"/>
      <c r="AR799"/>
      <c r="AS799"/>
      <c r="AT799"/>
      <c r="AU799"/>
      <c r="AV799"/>
      <c r="AW799"/>
      <c r="AX799"/>
      <c r="AY799"/>
      <c r="AZ799"/>
      <c r="BA799"/>
      <c r="BB799"/>
      <c r="BC799"/>
      <c r="BD799"/>
      <c r="BE799"/>
      <c r="BF799"/>
      <c r="BG799"/>
      <c r="BH799"/>
      <c r="BI799"/>
      <c r="BJ799"/>
      <c r="BK799"/>
      <c r="BL799"/>
      <c r="BM799"/>
      <c r="BN799"/>
      <c r="BO799"/>
      <c r="BP799"/>
      <c r="BQ799"/>
      <c r="BR799"/>
      <c r="BS799"/>
      <c r="BT799"/>
      <c r="BU799"/>
      <c r="BV799"/>
      <c r="BW799"/>
      <c r="BX799"/>
      <c r="BY799"/>
      <c r="BZ799"/>
    </row>
    <row r="800" spans="4:78" x14ac:dyDescent="0.25">
      <c r="D800"/>
      <c r="E800"/>
      <c r="F800"/>
      <c r="G800"/>
      <c r="H800"/>
      <c r="I800"/>
      <c r="J800"/>
      <c r="K800"/>
      <c r="L800"/>
      <c r="M800"/>
      <c r="N800"/>
      <c r="O800"/>
      <c r="P800"/>
      <c r="Q800"/>
      <c r="R800"/>
      <c r="S800"/>
      <c r="T800"/>
      <c r="U800"/>
      <c r="V800"/>
      <c r="W800"/>
      <c r="X800"/>
      <c r="Y800"/>
      <c r="Z800"/>
      <c r="AA800"/>
      <c r="AB800"/>
      <c r="AC800"/>
      <c r="AD800"/>
      <c r="AE800"/>
      <c r="AF800"/>
      <c r="AG800"/>
      <c r="AH800"/>
      <c r="AI800"/>
      <c r="AJ800"/>
      <c r="AK800"/>
      <c r="AL800"/>
      <c r="AM800"/>
      <c r="AN800"/>
      <c r="AO800"/>
      <c r="AP800"/>
      <c r="AQ800"/>
      <c r="AR800"/>
      <c r="AS800"/>
      <c r="AT800"/>
      <c r="AU800"/>
      <c r="AV800"/>
      <c r="AW800"/>
      <c r="AX800"/>
      <c r="AY800"/>
      <c r="AZ800"/>
      <c r="BA800"/>
      <c r="BB800"/>
      <c r="BC800"/>
      <c r="BD800"/>
      <c r="BE800"/>
      <c r="BF800"/>
      <c r="BG800"/>
      <c r="BH800"/>
      <c r="BI800"/>
      <c r="BJ800"/>
      <c r="BK800"/>
      <c r="BL800"/>
      <c r="BM800"/>
      <c r="BN800"/>
      <c r="BO800"/>
      <c r="BP800"/>
      <c r="BQ800"/>
      <c r="BR800"/>
      <c r="BS800"/>
      <c r="BT800"/>
      <c r="BU800"/>
      <c r="BV800"/>
      <c r="BW800"/>
      <c r="BX800"/>
      <c r="BY800"/>
      <c r="BZ800"/>
    </row>
    <row r="801" spans="4:78" x14ac:dyDescent="0.25">
      <c r="D801"/>
      <c r="E801"/>
      <c r="F801"/>
      <c r="G801"/>
      <c r="H801"/>
      <c r="I801"/>
      <c r="J801"/>
      <c r="K801"/>
      <c r="L801"/>
      <c r="M801"/>
      <c r="N801"/>
      <c r="O801"/>
      <c r="P801"/>
      <c r="Q801"/>
      <c r="R801"/>
      <c r="S801"/>
      <c r="T801"/>
      <c r="U801"/>
      <c r="V801"/>
      <c r="W801"/>
      <c r="X801"/>
      <c r="Y801"/>
      <c r="Z801"/>
      <c r="AA801"/>
      <c r="AB801"/>
      <c r="AC801"/>
      <c r="AD801"/>
      <c r="AE801"/>
      <c r="AF801"/>
      <c r="AG801"/>
      <c r="AH801"/>
      <c r="AI801"/>
      <c r="AJ801"/>
      <c r="AK801"/>
      <c r="AL801"/>
      <c r="AM801"/>
      <c r="AN801"/>
      <c r="AO801"/>
      <c r="AP801"/>
      <c r="AQ801"/>
      <c r="AR801"/>
      <c r="AS801"/>
      <c r="AT801"/>
      <c r="AU801"/>
      <c r="AV801"/>
      <c r="AW801"/>
      <c r="AX801"/>
      <c r="AY801"/>
      <c r="AZ801"/>
      <c r="BA801"/>
      <c r="BB801"/>
      <c r="BC801"/>
      <c r="BD801"/>
      <c r="BE801"/>
      <c r="BF801"/>
      <c r="BG801"/>
      <c r="BH801"/>
      <c r="BI801"/>
      <c r="BJ801"/>
      <c r="BK801"/>
      <c r="BL801"/>
      <c r="BM801"/>
      <c r="BN801"/>
      <c r="BO801"/>
      <c r="BP801"/>
      <c r="BQ801"/>
      <c r="BR801"/>
      <c r="BS801"/>
      <c r="BT801"/>
      <c r="BU801"/>
      <c r="BV801"/>
      <c r="BW801"/>
      <c r="BX801"/>
      <c r="BY801"/>
      <c r="BZ801"/>
    </row>
    <row r="802" spans="4:78" x14ac:dyDescent="0.25">
      <c r="D802"/>
      <c r="E802"/>
      <c r="F802"/>
      <c r="G802"/>
      <c r="H802"/>
      <c r="I802"/>
      <c r="J802"/>
      <c r="K802"/>
      <c r="L802"/>
      <c r="M802"/>
      <c r="N802"/>
      <c r="O802"/>
      <c r="P802"/>
      <c r="Q802"/>
      <c r="R802"/>
      <c r="S802"/>
      <c r="T802"/>
      <c r="U802"/>
      <c r="V802"/>
      <c r="W802"/>
      <c r="X802"/>
      <c r="Y802"/>
      <c r="Z802"/>
      <c r="AA802"/>
      <c r="AB802"/>
      <c r="AC802"/>
      <c r="AD802"/>
      <c r="AE802"/>
      <c r="AF802"/>
      <c r="AG802"/>
      <c r="AH802"/>
      <c r="AI802"/>
      <c r="AJ802"/>
      <c r="AK802"/>
      <c r="AL802"/>
      <c r="AM802"/>
      <c r="AN802"/>
      <c r="AO802"/>
      <c r="AP802"/>
      <c r="AQ802"/>
      <c r="AR802"/>
      <c r="AS802"/>
      <c r="AT802"/>
      <c r="AU802"/>
      <c r="AV802"/>
      <c r="AW802"/>
      <c r="AX802"/>
      <c r="AY802"/>
      <c r="AZ802"/>
      <c r="BA802"/>
      <c r="BB802"/>
      <c r="BC802"/>
      <c r="BD802"/>
      <c r="BE802"/>
      <c r="BF802"/>
      <c r="BG802"/>
      <c r="BH802"/>
      <c r="BI802"/>
      <c r="BJ802"/>
      <c r="BK802"/>
      <c r="BL802"/>
      <c r="BM802"/>
      <c r="BN802"/>
      <c r="BO802"/>
      <c r="BP802"/>
      <c r="BQ802"/>
      <c r="BR802"/>
      <c r="BS802"/>
      <c r="BT802"/>
      <c r="BU802"/>
      <c r="BV802"/>
      <c r="BW802"/>
      <c r="BX802"/>
      <c r="BY802"/>
      <c r="BZ802"/>
    </row>
    <row r="803" spans="4:78" x14ac:dyDescent="0.25">
      <c r="D803"/>
      <c r="E803"/>
      <c r="F803"/>
      <c r="G803"/>
      <c r="H803"/>
      <c r="I803"/>
      <c r="J803"/>
      <c r="K803"/>
      <c r="L803"/>
      <c r="M803"/>
      <c r="N803"/>
      <c r="O803"/>
      <c r="P803"/>
      <c r="Q803"/>
      <c r="R803"/>
      <c r="S803"/>
      <c r="T803"/>
      <c r="U803"/>
      <c r="V803"/>
      <c r="W803"/>
      <c r="X803"/>
      <c r="Y803"/>
      <c r="Z803"/>
      <c r="AA803"/>
      <c r="AB803"/>
      <c r="AC803"/>
      <c r="AD803"/>
      <c r="AE803"/>
      <c r="AF803"/>
      <c r="AG803"/>
      <c r="AH803"/>
      <c r="AI803"/>
      <c r="AJ803"/>
      <c r="AK803"/>
      <c r="AL803"/>
      <c r="AM803"/>
      <c r="AN803"/>
      <c r="AO803"/>
      <c r="AP803"/>
      <c r="AQ803"/>
      <c r="AR803"/>
      <c r="AS803"/>
      <c r="AT803"/>
      <c r="AU803"/>
      <c r="AV803"/>
      <c r="AW803"/>
      <c r="AX803"/>
      <c r="AY803"/>
      <c r="AZ803"/>
      <c r="BA803"/>
      <c r="BB803"/>
      <c r="BC803"/>
      <c r="BD803"/>
      <c r="BE803"/>
      <c r="BF803"/>
      <c r="BG803"/>
      <c r="BH803"/>
      <c r="BI803"/>
      <c r="BJ803"/>
      <c r="BK803"/>
      <c r="BL803"/>
      <c r="BM803"/>
      <c r="BN803"/>
      <c r="BO803"/>
      <c r="BP803"/>
      <c r="BQ803"/>
      <c r="BR803"/>
      <c r="BS803"/>
      <c r="BT803"/>
      <c r="BU803"/>
      <c r="BV803"/>
      <c r="BW803"/>
      <c r="BX803"/>
      <c r="BY803"/>
      <c r="BZ803"/>
    </row>
    <row r="804" spans="4:78" x14ac:dyDescent="0.25">
      <c r="D804"/>
      <c r="E804"/>
      <c r="F804"/>
      <c r="G804"/>
      <c r="H804"/>
      <c r="I804"/>
      <c r="J804"/>
      <c r="K804"/>
      <c r="L804"/>
      <c r="M804"/>
      <c r="N804"/>
      <c r="O804"/>
      <c r="P804"/>
      <c r="Q804"/>
      <c r="R804"/>
      <c r="S804"/>
      <c r="T804"/>
      <c r="U804"/>
      <c r="V804"/>
      <c r="W804"/>
      <c r="X804"/>
      <c r="Y804"/>
      <c r="Z804"/>
      <c r="AA804"/>
      <c r="AB804"/>
      <c r="AC804"/>
      <c r="AD804"/>
      <c r="AE804"/>
      <c r="AF804"/>
      <c r="AG804"/>
      <c r="AH804"/>
      <c r="AI804"/>
      <c r="AJ804"/>
      <c r="AK804"/>
      <c r="AL804"/>
      <c r="AM804"/>
      <c r="AN804"/>
      <c r="AO804"/>
      <c r="AP804"/>
      <c r="AQ804"/>
      <c r="AR804"/>
      <c r="AS804"/>
      <c r="AT804"/>
      <c r="AU804"/>
      <c r="AV804"/>
      <c r="AW804"/>
      <c r="AX804"/>
      <c r="AY804"/>
      <c r="AZ804"/>
      <c r="BA804"/>
      <c r="BB804"/>
      <c r="BC804"/>
      <c r="BD804"/>
      <c r="BE804"/>
      <c r="BF804"/>
      <c r="BG804"/>
      <c r="BH804"/>
      <c r="BI804"/>
      <c r="BJ804"/>
      <c r="BK804"/>
      <c r="BL804"/>
      <c r="BM804"/>
      <c r="BN804"/>
      <c r="BO804"/>
      <c r="BP804"/>
      <c r="BQ804"/>
      <c r="BR804"/>
      <c r="BS804"/>
      <c r="BT804"/>
      <c r="BU804"/>
      <c r="BV804"/>
      <c r="BW804"/>
      <c r="BX804"/>
      <c r="BY804"/>
      <c r="BZ804"/>
    </row>
    <row r="805" spans="4:78" x14ac:dyDescent="0.25">
      <c r="D805"/>
      <c r="E805"/>
      <c r="F805"/>
      <c r="G805"/>
      <c r="H805"/>
      <c r="I805"/>
      <c r="J805"/>
      <c r="K805"/>
      <c r="L805"/>
      <c r="M805"/>
      <c r="N805"/>
      <c r="O805"/>
      <c r="P805"/>
      <c r="Q805"/>
      <c r="R805"/>
      <c r="S805"/>
      <c r="T805"/>
      <c r="U805"/>
      <c r="V805"/>
      <c r="W805"/>
      <c r="X805"/>
      <c r="Y805"/>
      <c r="Z805"/>
      <c r="AA805"/>
      <c r="AB805"/>
      <c r="AC805"/>
      <c r="AD805"/>
      <c r="AE805"/>
      <c r="AF805"/>
      <c r="AG805"/>
      <c r="AH805"/>
      <c r="AI805"/>
      <c r="AJ805"/>
      <c r="AK805"/>
      <c r="AL805"/>
      <c r="AM805"/>
      <c r="AN805"/>
      <c r="AO805"/>
      <c r="AP805"/>
      <c r="AQ805"/>
      <c r="AR805"/>
      <c r="AS805"/>
      <c r="AT805"/>
      <c r="AU805"/>
      <c r="AV805"/>
      <c r="AW805"/>
      <c r="AX805"/>
      <c r="AY805"/>
      <c r="AZ805"/>
      <c r="BA805"/>
      <c r="BB805"/>
      <c r="BC805"/>
      <c r="BD805"/>
      <c r="BE805"/>
      <c r="BF805"/>
      <c r="BG805"/>
      <c r="BH805"/>
      <c r="BI805"/>
      <c r="BJ805"/>
      <c r="BK805"/>
      <c r="BL805"/>
      <c r="BM805"/>
      <c r="BN805"/>
      <c r="BO805"/>
      <c r="BP805"/>
      <c r="BQ805"/>
      <c r="BR805"/>
      <c r="BS805"/>
      <c r="BT805"/>
      <c r="BU805"/>
      <c r="BV805"/>
      <c r="BW805"/>
      <c r="BX805"/>
      <c r="BY805"/>
      <c r="BZ805"/>
    </row>
    <row r="806" spans="4:78" x14ac:dyDescent="0.25">
      <c r="D806"/>
      <c r="E806"/>
      <c r="F806"/>
      <c r="G806"/>
      <c r="H806"/>
      <c r="I806"/>
      <c r="J806"/>
      <c r="K806"/>
      <c r="L806"/>
      <c r="M806"/>
      <c r="N806"/>
      <c r="O806"/>
      <c r="P806"/>
      <c r="Q806"/>
      <c r="R806"/>
      <c r="S806"/>
      <c r="T806"/>
      <c r="U806"/>
      <c r="V806"/>
      <c r="W806"/>
      <c r="X806"/>
      <c r="Y806"/>
      <c r="Z806"/>
      <c r="AA806"/>
      <c r="AB806"/>
      <c r="AC806"/>
      <c r="AD806"/>
      <c r="AE806"/>
      <c r="AF806"/>
      <c r="AG806"/>
      <c r="AH806"/>
      <c r="AI806"/>
      <c r="AJ806"/>
      <c r="AK806"/>
      <c r="AL806"/>
      <c r="AM806"/>
      <c r="AN806"/>
      <c r="AO806"/>
      <c r="AP806"/>
      <c r="AQ806"/>
      <c r="AR806"/>
      <c r="AS806"/>
      <c r="AT806"/>
      <c r="AU806"/>
      <c r="AV806"/>
      <c r="AW806"/>
      <c r="AX806"/>
      <c r="AY806"/>
      <c r="AZ806"/>
      <c r="BA806"/>
      <c r="BB806"/>
      <c r="BC806"/>
      <c r="BD806"/>
      <c r="BE806"/>
      <c r="BF806"/>
      <c r="BG806"/>
      <c r="BH806"/>
      <c r="BI806"/>
      <c r="BJ806"/>
      <c r="BK806"/>
      <c r="BL806"/>
      <c r="BM806"/>
      <c r="BN806"/>
      <c r="BO806"/>
      <c r="BP806"/>
      <c r="BQ806"/>
      <c r="BR806"/>
      <c r="BS806"/>
      <c r="BT806"/>
      <c r="BU806"/>
      <c r="BV806"/>
      <c r="BW806"/>
      <c r="BX806"/>
      <c r="BY806"/>
      <c r="BZ806"/>
    </row>
    <row r="807" spans="4:78" x14ac:dyDescent="0.25">
      <c r="D807"/>
      <c r="E807"/>
      <c r="F807"/>
      <c r="G807"/>
      <c r="H807"/>
      <c r="I807"/>
      <c r="J807"/>
      <c r="K807"/>
      <c r="L807"/>
      <c r="M807"/>
      <c r="N807"/>
      <c r="O807"/>
      <c r="P807"/>
      <c r="Q807"/>
      <c r="R807"/>
      <c r="S807"/>
      <c r="T807"/>
      <c r="U807"/>
      <c r="V807"/>
      <c r="W807"/>
      <c r="X807"/>
      <c r="Y807"/>
      <c r="Z807"/>
      <c r="AA807"/>
      <c r="AB807"/>
      <c r="AC807"/>
      <c r="AD807"/>
      <c r="AE807"/>
      <c r="AF807"/>
      <c r="AG807"/>
      <c r="AH807"/>
      <c r="AI807"/>
      <c r="AJ807"/>
      <c r="AK807"/>
      <c r="AL807"/>
      <c r="AM807"/>
      <c r="AN807"/>
      <c r="AO807"/>
      <c r="AP807"/>
      <c r="AQ807"/>
      <c r="AR807"/>
      <c r="AS807"/>
      <c r="AT807"/>
      <c r="AU807"/>
      <c r="AV807"/>
      <c r="AW807"/>
      <c r="AX807"/>
      <c r="AY807"/>
      <c r="AZ807"/>
      <c r="BA807"/>
      <c r="BB807"/>
      <c r="BC807"/>
      <c r="BD807"/>
      <c r="BE807"/>
      <c r="BF807"/>
      <c r="BG807"/>
      <c r="BH807"/>
      <c r="BI807"/>
      <c r="BJ807"/>
      <c r="BK807"/>
      <c r="BL807"/>
      <c r="BM807"/>
      <c r="BN807"/>
      <c r="BO807"/>
      <c r="BP807"/>
      <c r="BQ807"/>
      <c r="BR807"/>
      <c r="BS807"/>
      <c r="BT807"/>
      <c r="BU807"/>
      <c r="BV807"/>
      <c r="BW807"/>
      <c r="BX807"/>
      <c r="BY807"/>
      <c r="BZ807"/>
    </row>
    <row r="808" spans="4:78" x14ac:dyDescent="0.25">
      <c r="D808"/>
      <c r="E808"/>
      <c r="F808"/>
      <c r="G808"/>
      <c r="H808"/>
      <c r="I808"/>
      <c r="J808"/>
      <c r="K808"/>
      <c r="L808"/>
      <c r="M808"/>
      <c r="N808"/>
      <c r="O808"/>
      <c r="P808"/>
      <c r="Q808"/>
      <c r="R808"/>
      <c r="S808"/>
      <c r="T808"/>
      <c r="U808"/>
      <c r="V808"/>
      <c r="W808"/>
      <c r="X808"/>
      <c r="Y808"/>
      <c r="Z808"/>
      <c r="AA808"/>
      <c r="AB808"/>
      <c r="AC808"/>
      <c r="AD808"/>
      <c r="AE808"/>
      <c r="AF808"/>
      <c r="AG808"/>
      <c r="AH808"/>
      <c r="AI808"/>
      <c r="AJ808"/>
      <c r="AK808"/>
      <c r="AL808"/>
      <c r="AM808"/>
      <c r="AN808"/>
      <c r="AO808"/>
      <c r="AP808"/>
      <c r="AQ808"/>
      <c r="AR808"/>
      <c r="AS808"/>
      <c r="AT808"/>
      <c r="AU808"/>
      <c r="AV808"/>
      <c r="AW808"/>
      <c r="AX808"/>
      <c r="AY808"/>
      <c r="AZ808"/>
      <c r="BA808"/>
      <c r="BB808"/>
      <c r="BC808"/>
      <c r="BD808"/>
      <c r="BE808"/>
      <c r="BF808"/>
      <c r="BG808"/>
      <c r="BH808"/>
      <c r="BI808"/>
      <c r="BJ808"/>
      <c r="BK808"/>
      <c r="BL808"/>
      <c r="BM808"/>
      <c r="BN808"/>
      <c r="BO808"/>
      <c r="BP808"/>
      <c r="BQ808"/>
      <c r="BR808"/>
      <c r="BS808"/>
      <c r="BT808"/>
      <c r="BU808"/>
      <c r="BV808"/>
      <c r="BW808"/>
      <c r="BX808"/>
      <c r="BY808"/>
      <c r="BZ808"/>
    </row>
    <row r="809" spans="4:78" x14ac:dyDescent="0.25">
      <c r="D809"/>
      <c r="E809"/>
      <c r="F809"/>
      <c r="G809"/>
      <c r="H809"/>
      <c r="I809"/>
      <c r="J809"/>
      <c r="K809"/>
      <c r="L809"/>
      <c r="M809"/>
      <c r="N809"/>
      <c r="O809"/>
      <c r="P809"/>
      <c r="Q809"/>
      <c r="R809"/>
      <c r="S809"/>
      <c r="T809"/>
      <c r="U809"/>
      <c r="V809"/>
      <c r="W809"/>
      <c r="X809"/>
      <c r="Y809"/>
      <c r="Z809"/>
      <c r="AA809"/>
      <c r="AB809"/>
      <c r="AC809"/>
      <c r="AD809"/>
      <c r="AE809"/>
      <c r="AF809"/>
      <c r="AG809"/>
      <c r="AH809"/>
      <c r="AI809"/>
      <c r="AJ809"/>
      <c r="AK809"/>
      <c r="AL809"/>
      <c r="AM809"/>
      <c r="AN809"/>
      <c r="AO809"/>
      <c r="AP809"/>
      <c r="AQ809"/>
      <c r="AR809"/>
      <c r="AS809"/>
      <c r="AT809"/>
      <c r="AU809"/>
      <c r="AV809"/>
      <c r="AW809"/>
      <c r="AX809"/>
      <c r="AY809"/>
      <c r="AZ809"/>
      <c r="BA809"/>
      <c r="BB809"/>
      <c r="BC809"/>
      <c r="BD809"/>
      <c r="BE809"/>
      <c r="BF809"/>
      <c r="BG809"/>
      <c r="BH809"/>
      <c r="BI809"/>
      <c r="BJ809"/>
      <c r="BK809"/>
      <c r="BL809"/>
      <c r="BM809"/>
      <c r="BN809"/>
      <c r="BO809"/>
      <c r="BP809"/>
      <c r="BQ809"/>
      <c r="BR809"/>
      <c r="BS809"/>
      <c r="BT809"/>
      <c r="BU809"/>
      <c r="BV809"/>
      <c r="BW809"/>
      <c r="BX809"/>
      <c r="BY809"/>
      <c r="BZ809"/>
    </row>
    <row r="810" spans="4:78" x14ac:dyDescent="0.25">
      <c r="D810"/>
      <c r="E810"/>
      <c r="F810"/>
      <c r="G810"/>
      <c r="H810"/>
      <c r="I810"/>
      <c r="J810"/>
      <c r="K810"/>
      <c r="L810"/>
      <c r="M810"/>
      <c r="N810"/>
      <c r="O810"/>
      <c r="P810"/>
      <c r="Q810"/>
      <c r="R810"/>
      <c r="S810"/>
      <c r="T810"/>
      <c r="U810"/>
      <c r="V810"/>
      <c r="W810"/>
      <c r="X810"/>
      <c r="Y810"/>
      <c r="Z810"/>
      <c r="AA810"/>
      <c r="AB810"/>
      <c r="AC810"/>
      <c r="AD810"/>
      <c r="AE810"/>
      <c r="AF810"/>
      <c r="AG810"/>
      <c r="AH810"/>
      <c r="AI810"/>
      <c r="AJ810"/>
      <c r="AK810"/>
      <c r="AL810"/>
      <c r="AM810"/>
      <c r="AN810"/>
      <c r="AO810"/>
      <c r="AP810"/>
      <c r="AQ810"/>
      <c r="AR810"/>
      <c r="AS810"/>
      <c r="AT810"/>
      <c r="AU810"/>
      <c r="AV810"/>
      <c r="AW810"/>
      <c r="AX810"/>
      <c r="AY810"/>
      <c r="AZ810"/>
      <c r="BA810"/>
      <c r="BB810"/>
      <c r="BC810"/>
      <c r="BD810"/>
      <c r="BE810"/>
      <c r="BF810"/>
      <c r="BG810"/>
      <c r="BH810"/>
      <c r="BI810"/>
      <c r="BJ810"/>
      <c r="BK810"/>
      <c r="BL810"/>
      <c r="BM810"/>
      <c r="BN810"/>
      <c r="BO810"/>
      <c r="BP810"/>
      <c r="BQ810"/>
      <c r="BR810"/>
      <c r="BS810"/>
      <c r="BT810"/>
      <c r="BU810"/>
      <c r="BV810"/>
      <c r="BW810"/>
      <c r="BX810"/>
      <c r="BY810"/>
      <c r="BZ810"/>
    </row>
    <row r="811" spans="4:78" x14ac:dyDescent="0.25">
      <c r="D811"/>
      <c r="E811"/>
      <c r="F811"/>
      <c r="G811"/>
      <c r="H811"/>
      <c r="I811"/>
      <c r="J811"/>
      <c r="K811"/>
      <c r="L811"/>
      <c r="M811"/>
      <c r="N811"/>
      <c r="O811"/>
      <c r="P811"/>
      <c r="Q811"/>
      <c r="R811"/>
      <c r="S811"/>
      <c r="T811"/>
      <c r="U811"/>
      <c r="V811"/>
      <c r="W811"/>
      <c r="X811"/>
      <c r="Y811"/>
      <c r="Z811"/>
      <c r="AA811"/>
      <c r="AB811"/>
      <c r="AC811"/>
      <c r="AD811"/>
      <c r="AE811"/>
      <c r="AF811"/>
      <c r="AG811"/>
      <c r="AH811"/>
      <c r="AI811"/>
      <c r="AJ811"/>
      <c r="AK811"/>
      <c r="AL811"/>
      <c r="AM811"/>
      <c r="AN811"/>
      <c r="AO811"/>
      <c r="AP811"/>
      <c r="AQ811"/>
      <c r="AR811"/>
      <c r="AS811"/>
      <c r="AT811"/>
      <c r="AU811"/>
      <c r="AV811"/>
      <c r="AW811"/>
      <c r="AX811"/>
      <c r="AY811"/>
      <c r="AZ811"/>
      <c r="BA811"/>
      <c r="BB811"/>
      <c r="BC811"/>
      <c r="BD811"/>
      <c r="BE811"/>
      <c r="BF811"/>
      <c r="BG811"/>
      <c r="BH811"/>
      <c r="BI811"/>
      <c r="BJ811"/>
      <c r="BK811"/>
      <c r="BL811"/>
      <c r="BM811"/>
      <c r="BN811"/>
      <c r="BO811"/>
      <c r="BP811"/>
      <c r="BQ811"/>
      <c r="BR811"/>
      <c r="BS811"/>
      <c r="BT811"/>
      <c r="BU811"/>
      <c r="BV811"/>
      <c r="BW811"/>
      <c r="BX811"/>
      <c r="BY811"/>
      <c r="BZ811"/>
    </row>
    <row r="812" spans="4:78" x14ac:dyDescent="0.25">
      <c r="D812"/>
      <c r="E812"/>
      <c r="F812"/>
      <c r="G812"/>
      <c r="H812"/>
      <c r="I812"/>
      <c r="J812"/>
      <c r="K812"/>
      <c r="L812"/>
      <c r="M812"/>
      <c r="N812"/>
      <c r="O812"/>
      <c r="P812"/>
      <c r="Q812"/>
      <c r="R812"/>
      <c r="S812"/>
      <c r="T812"/>
      <c r="U812"/>
      <c r="V812"/>
      <c r="W812"/>
      <c r="X812"/>
      <c r="Y812"/>
      <c r="Z812"/>
      <c r="AA812"/>
      <c r="AB812"/>
      <c r="AC812"/>
      <c r="AD812"/>
      <c r="AE812"/>
      <c r="AF812"/>
      <c r="AG812"/>
      <c r="AH812"/>
      <c r="AI812"/>
      <c r="AJ812"/>
      <c r="AK812"/>
      <c r="AL812"/>
      <c r="AM812"/>
      <c r="AN812"/>
      <c r="AO812"/>
      <c r="AP812"/>
      <c r="AQ812"/>
      <c r="AR812"/>
      <c r="AS812"/>
      <c r="AT812"/>
      <c r="AU812"/>
      <c r="AV812"/>
      <c r="AW812"/>
      <c r="AX812"/>
      <c r="AY812"/>
      <c r="AZ812"/>
      <c r="BA812"/>
      <c r="BB812"/>
      <c r="BC812"/>
      <c r="BD812"/>
      <c r="BE812"/>
      <c r="BF812"/>
      <c r="BG812"/>
      <c r="BH812"/>
      <c r="BI812"/>
      <c r="BJ812"/>
      <c r="BK812"/>
      <c r="BL812"/>
      <c r="BM812"/>
      <c r="BN812"/>
      <c r="BO812"/>
      <c r="BP812"/>
      <c r="BQ812"/>
      <c r="BR812"/>
      <c r="BS812"/>
      <c r="BT812"/>
      <c r="BU812"/>
      <c r="BV812"/>
      <c r="BW812"/>
      <c r="BX812"/>
      <c r="BY812"/>
      <c r="BZ812"/>
    </row>
    <row r="813" spans="4:78" x14ac:dyDescent="0.25">
      <c r="D813"/>
      <c r="E813"/>
      <c r="F813"/>
      <c r="G813"/>
      <c r="H813"/>
      <c r="I813"/>
      <c r="J813"/>
      <c r="K813"/>
      <c r="L813"/>
      <c r="M813"/>
      <c r="N813"/>
      <c r="O813"/>
      <c r="P813"/>
      <c r="Q813"/>
      <c r="R813"/>
      <c r="S813"/>
      <c r="T813"/>
      <c r="U813"/>
      <c r="V813"/>
      <c r="W813"/>
      <c r="X813"/>
      <c r="Y813"/>
      <c r="Z813"/>
      <c r="AA813"/>
      <c r="AB813"/>
      <c r="AC813"/>
      <c r="AD813"/>
      <c r="AE813"/>
      <c r="AF813"/>
      <c r="AG813"/>
      <c r="AH813"/>
      <c r="AI813"/>
      <c r="AJ813"/>
      <c r="AK813"/>
      <c r="AL813"/>
      <c r="AM813"/>
      <c r="AN813"/>
      <c r="AO813"/>
      <c r="AP813"/>
      <c r="AQ813"/>
      <c r="AR813"/>
      <c r="AS813"/>
      <c r="AT813"/>
      <c r="AU813"/>
      <c r="AV813"/>
      <c r="AW813"/>
      <c r="AX813"/>
      <c r="AY813"/>
      <c r="AZ813"/>
      <c r="BA813"/>
      <c r="BB813"/>
      <c r="BC813"/>
      <c r="BD813"/>
      <c r="BE813"/>
      <c r="BF813"/>
      <c r="BG813"/>
      <c r="BH813"/>
      <c r="BI813"/>
      <c r="BJ813"/>
      <c r="BK813"/>
      <c r="BL813"/>
      <c r="BM813"/>
      <c r="BN813"/>
      <c r="BO813"/>
      <c r="BP813"/>
      <c r="BQ813"/>
      <c r="BR813"/>
      <c r="BS813"/>
      <c r="BT813"/>
      <c r="BU813"/>
      <c r="BV813"/>
      <c r="BW813"/>
      <c r="BX813"/>
      <c r="BY813"/>
      <c r="BZ813"/>
    </row>
    <row r="814" spans="4:78" x14ac:dyDescent="0.25">
      <c r="D814"/>
      <c r="E814"/>
      <c r="F814"/>
      <c r="G814"/>
      <c r="H814"/>
      <c r="I814"/>
      <c r="J814"/>
      <c r="K814"/>
      <c r="L814"/>
      <c r="M814"/>
      <c r="N814"/>
      <c r="O814"/>
      <c r="P814"/>
      <c r="Q814"/>
      <c r="R814"/>
      <c r="S814"/>
      <c r="T814"/>
      <c r="U814"/>
      <c r="V814"/>
      <c r="W814"/>
      <c r="X814"/>
      <c r="Y814"/>
      <c r="Z814"/>
      <c r="AA814"/>
      <c r="AB814"/>
      <c r="AC814"/>
      <c r="AD814"/>
      <c r="AE814"/>
      <c r="AF814"/>
      <c r="AG814"/>
      <c r="AH814"/>
      <c r="AI814"/>
      <c r="AJ814"/>
      <c r="AK814"/>
      <c r="AL814"/>
      <c r="AM814"/>
      <c r="AN814"/>
      <c r="AO814"/>
      <c r="AP814"/>
      <c r="AQ814"/>
      <c r="AR814"/>
      <c r="AS814"/>
      <c r="AT814"/>
      <c r="AU814"/>
      <c r="AV814"/>
      <c r="AW814"/>
      <c r="AX814"/>
      <c r="AY814"/>
      <c r="AZ814"/>
      <c r="BA814"/>
      <c r="BB814"/>
      <c r="BC814"/>
      <c r="BD814"/>
      <c r="BE814"/>
      <c r="BF814"/>
      <c r="BG814"/>
      <c r="BH814"/>
      <c r="BI814"/>
      <c r="BJ814"/>
      <c r="BK814"/>
      <c r="BL814"/>
      <c r="BM814"/>
      <c r="BN814"/>
      <c r="BO814"/>
      <c r="BP814"/>
      <c r="BQ814"/>
      <c r="BR814"/>
      <c r="BS814"/>
      <c r="BT814"/>
      <c r="BU814"/>
      <c r="BV814"/>
      <c r="BW814"/>
      <c r="BX814"/>
      <c r="BY814"/>
      <c r="BZ814"/>
    </row>
    <row r="815" spans="4:78" x14ac:dyDescent="0.25">
      <c r="D815"/>
      <c r="E815"/>
      <c r="F815"/>
      <c r="G815"/>
      <c r="H815"/>
      <c r="I815"/>
      <c r="J815"/>
      <c r="K815"/>
      <c r="L815"/>
      <c r="M815"/>
      <c r="N815"/>
      <c r="O815"/>
      <c r="P815"/>
      <c r="Q815"/>
      <c r="R815"/>
      <c r="S815"/>
      <c r="T815"/>
      <c r="U815"/>
      <c r="V815"/>
      <c r="W815"/>
      <c r="X815"/>
      <c r="Y815"/>
      <c r="Z815"/>
      <c r="AA815"/>
      <c r="AB815"/>
      <c r="AC815"/>
      <c r="AD815"/>
      <c r="AE815"/>
      <c r="AF815"/>
      <c r="AG815"/>
      <c r="AH815"/>
      <c r="AI815"/>
      <c r="AJ815"/>
      <c r="AK815"/>
      <c r="AL815"/>
      <c r="AM815"/>
      <c r="AN815"/>
      <c r="AO815"/>
      <c r="AP815"/>
      <c r="AQ815"/>
      <c r="AR815"/>
      <c r="AS815"/>
      <c r="AT815"/>
      <c r="AU815"/>
      <c r="AV815"/>
      <c r="AW815"/>
      <c r="AX815"/>
      <c r="AY815"/>
      <c r="AZ815"/>
      <c r="BA815"/>
      <c r="BB815"/>
      <c r="BC815"/>
      <c r="BD815"/>
      <c r="BE815"/>
      <c r="BF815"/>
      <c r="BG815"/>
      <c r="BH815"/>
      <c r="BI815"/>
      <c r="BJ815"/>
      <c r="BK815"/>
      <c r="BL815"/>
      <c r="BM815"/>
      <c r="BN815"/>
      <c r="BO815"/>
      <c r="BP815"/>
      <c r="BQ815"/>
      <c r="BR815"/>
      <c r="BS815"/>
      <c r="BT815"/>
      <c r="BU815"/>
      <c r="BV815"/>
      <c r="BW815"/>
      <c r="BX815"/>
      <c r="BY815"/>
      <c r="BZ815"/>
    </row>
    <row r="816" spans="4:78" x14ac:dyDescent="0.25">
      <c r="D816"/>
      <c r="E816"/>
      <c r="F816"/>
      <c r="G816"/>
      <c r="H816"/>
      <c r="I816"/>
      <c r="J816"/>
      <c r="K816"/>
      <c r="L816"/>
      <c r="M816"/>
      <c r="N816"/>
      <c r="O816"/>
      <c r="P816"/>
      <c r="Q816"/>
      <c r="R816"/>
      <c r="S816"/>
      <c r="T816"/>
      <c r="U816"/>
      <c r="V816"/>
      <c r="W816"/>
      <c r="X816"/>
      <c r="Y816"/>
      <c r="Z816"/>
      <c r="AA816"/>
      <c r="AB816"/>
      <c r="AC816"/>
      <c r="AD816"/>
      <c r="AE816"/>
      <c r="AF816"/>
      <c r="AG816"/>
      <c r="AH816"/>
      <c r="AI816"/>
      <c r="AJ816"/>
      <c r="AK816"/>
      <c r="AL816"/>
      <c r="AM816"/>
      <c r="AN816"/>
      <c r="AO816"/>
      <c r="AP816"/>
      <c r="AQ816"/>
      <c r="AR816"/>
      <c r="AS816"/>
      <c r="AT816"/>
      <c r="AU816"/>
      <c r="AV816"/>
      <c r="AW816"/>
      <c r="AX816"/>
      <c r="AY816"/>
      <c r="AZ816"/>
      <c r="BA816"/>
      <c r="BB816"/>
      <c r="BC816"/>
      <c r="BD816"/>
      <c r="BE816"/>
      <c r="BF816"/>
      <c r="BG816"/>
      <c r="BH816"/>
      <c r="BI816"/>
      <c r="BJ816"/>
      <c r="BK816"/>
      <c r="BL816"/>
      <c r="BM816"/>
      <c r="BN816"/>
      <c r="BO816"/>
      <c r="BP816"/>
      <c r="BQ816"/>
      <c r="BR816"/>
      <c r="BS816"/>
      <c r="BT816"/>
      <c r="BU816"/>
      <c r="BV816"/>
      <c r="BW816"/>
      <c r="BX816"/>
      <c r="BY816"/>
      <c r="BZ816"/>
    </row>
    <row r="817" spans="4:78" x14ac:dyDescent="0.25">
      <c r="D817"/>
      <c r="E817"/>
      <c r="F817"/>
      <c r="G817"/>
      <c r="H817"/>
      <c r="I817"/>
      <c r="J817"/>
      <c r="K817"/>
      <c r="L817"/>
      <c r="M817"/>
      <c r="N817"/>
      <c r="O817"/>
      <c r="P817"/>
      <c r="Q817"/>
      <c r="R817"/>
      <c r="S817"/>
      <c r="T817"/>
      <c r="U817"/>
      <c r="V817"/>
      <c r="W817"/>
      <c r="X817"/>
      <c r="Y817"/>
      <c r="Z817"/>
      <c r="AA817"/>
      <c r="AB817"/>
      <c r="AC817"/>
      <c r="AD817"/>
      <c r="AE817"/>
      <c r="AF817"/>
      <c r="AG817"/>
      <c r="AH817"/>
      <c r="AI817"/>
      <c r="AJ817"/>
      <c r="AK817"/>
      <c r="AL817"/>
      <c r="AM817"/>
      <c r="AN817"/>
      <c r="AO817"/>
      <c r="AP817"/>
      <c r="AQ817"/>
      <c r="AR817"/>
      <c r="AS817"/>
      <c r="AT817"/>
      <c r="AU817"/>
      <c r="AV817"/>
      <c r="AW817"/>
      <c r="AX817"/>
      <c r="AY817"/>
      <c r="AZ817"/>
      <c r="BA817"/>
      <c r="BB817"/>
      <c r="BC817"/>
      <c r="BD817"/>
      <c r="BE817"/>
      <c r="BF817"/>
      <c r="BG817"/>
      <c r="BH817"/>
      <c r="BI817"/>
      <c r="BJ817"/>
      <c r="BK817"/>
      <c r="BL817"/>
      <c r="BM817"/>
      <c r="BN817"/>
      <c r="BO817"/>
      <c r="BP817"/>
      <c r="BQ817"/>
      <c r="BR817"/>
      <c r="BS817"/>
      <c r="BT817"/>
      <c r="BU817"/>
      <c r="BV817"/>
      <c r="BW817"/>
      <c r="BX817"/>
      <c r="BY817"/>
      <c r="BZ817"/>
    </row>
    <row r="818" spans="4:78" x14ac:dyDescent="0.25">
      <c r="D818"/>
      <c r="E818"/>
      <c r="F818"/>
      <c r="G818"/>
      <c r="H818"/>
      <c r="I818"/>
      <c r="J818"/>
      <c r="K818"/>
      <c r="L818"/>
      <c r="M818"/>
      <c r="N818"/>
      <c r="O818"/>
      <c r="P818"/>
      <c r="Q818"/>
      <c r="R818"/>
      <c r="S818"/>
      <c r="T818"/>
      <c r="U818"/>
      <c r="V818"/>
      <c r="W818"/>
      <c r="X818"/>
      <c r="Y818"/>
      <c r="Z818"/>
      <c r="AA818"/>
      <c r="AB818"/>
      <c r="AC818"/>
      <c r="AD818"/>
      <c r="AE818"/>
      <c r="AF818"/>
      <c r="AG818"/>
      <c r="AH818"/>
      <c r="AI818"/>
      <c r="AJ818"/>
      <c r="AK818"/>
      <c r="AL818"/>
      <c r="AM818"/>
      <c r="AN818"/>
      <c r="AO818"/>
      <c r="AP818"/>
      <c r="AQ818"/>
      <c r="AR818"/>
      <c r="AS818"/>
      <c r="AT818"/>
      <c r="AU818"/>
      <c r="AV818"/>
      <c r="AW818"/>
      <c r="AX818"/>
      <c r="AY818"/>
      <c r="AZ818"/>
      <c r="BA818"/>
      <c r="BB818"/>
      <c r="BC818"/>
      <c r="BD818"/>
      <c r="BE818"/>
      <c r="BF818"/>
      <c r="BG818"/>
      <c r="BH818"/>
      <c r="BI818"/>
      <c r="BJ818"/>
      <c r="BK818"/>
      <c r="BL818"/>
      <c r="BM818"/>
      <c r="BN818"/>
      <c r="BO818"/>
      <c r="BP818"/>
      <c r="BQ818"/>
      <c r="BR818"/>
      <c r="BS818"/>
      <c r="BT818"/>
      <c r="BU818"/>
      <c r="BV818"/>
      <c r="BW818"/>
      <c r="BX818"/>
      <c r="BY818"/>
      <c r="BZ818"/>
    </row>
    <row r="819" spans="4:78" x14ac:dyDescent="0.25">
      <c r="D819"/>
      <c r="E819"/>
      <c r="F819"/>
      <c r="G819"/>
      <c r="H819"/>
      <c r="I819"/>
      <c r="J819"/>
      <c r="K819"/>
      <c r="L819"/>
      <c r="M819"/>
      <c r="N819"/>
      <c r="O819"/>
      <c r="P819"/>
      <c r="Q819"/>
      <c r="R819"/>
      <c r="S819"/>
      <c r="T819"/>
      <c r="U819"/>
      <c r="V819"/>
      <c r="W819"/>
      <c r="X819"/>
      <c r="Y819"/>
      <c r="Z819"/>
      <c r="AA819"/>
      <c r="AB819"/>
      <c r="AC819"/>
      <c r="AD819"/>
      <c r="AE819"/>
      <c r="AF819"/>
      <c r="AG819"/>
      <c r="AH819"/>
      <c r="AI819"/>
      <c r="AJ819"/>
      <c r="AK819"/>
      <c r="AL819"/>
      <c r="AM819"/>
      <c r="AN819"/>
      <c r="AO819"/>
      <c r="AP819"/>
      <c r="AQ819"/>
      <c r="AR819"/>
      <c r="AS819"/>
      <c r="AT819"/>
      <c r="AU819"/>
      <c r="AV819"/>
      <c r="AW819"/>
      <c r="AX819"/>
      <c r="AY819"/>
      <c r="AZ819"/>
      <c r="BA819"/>
      <c r="BB819"/>
      <c r="BC819"/>
      <c r="BD819"/>
      <c r="BE819"/>
      <c r="BF819"/>
      <c r="BG819"/>
      <c r="BH819"/>
      <c r="BI819"/>
      <c r="BJ819"/>
      <c r="BK819"/>
      <c r="BL819"/>
      <c r="BM819"/>
      <c r="BN819"/>
      <c r="BO819"/>
      <c r="BP819"/>
      <c r="BQ819"/>
      <c r="BR819"/>
      <c r="BS819"/>
      <c r="BT819"/>
      <c r="BU819"/>
      <c r="BV819"/>
      <c r="BW819"/>
      <c r="BX819"/>
      <c r="BY819"/>
      <c r="BZ819"/>
    </row>
    <row r="820" spans="4:78" x14ac:dyDescent="0.25">
      <c r="D820"/>
      <c r="E820"/>
      <c r="F820"/>
      <c r="G820"/>
      <c r="H820"/>
      <c r="I820"/>
      <c r="J820"/>
      <c r="K820"/>
      <c r="L820"/>
      <c r="M820"/>
      <c r="N820"/>
      <c r="O820"/>
      <c r="P820"/>
      <c r="Q820"/>
      <c r="R820"/>
      <c r="S820"/>
      <c r="T820"/>
      <c r="U820"/>
      <c r="V820"/>
      <c r="W820"/>
      <c r="X820"/>
      <c r="Y820"/>
      <c r="Z820"/>
      <c r="AA820"/>
      <c r="AB820"/>
      <c r="AC820"/>
      <c r="AD820"/>
      <c r="AE820"/>
      <c r="AF820"/>
      <c r="AG820"/>
      <c r="AH820"/>
      <c r="AI820"/>
      <c r="AJ820"/>
      <c r="AK820"/>
      <c r="AL820"/>
      <c r="AM820"/>
      <c r="AN820"/>
      <c r="AO820"/>
      <c r="AP820"/>
      <c r="AQ820"/>
      <c r="AR820"/>
      <c r="AS820"/>
      <c r="AT820"/>
      <c r="AU820"/>
      <c r="AV820"/>
      <c r="AW820"/>
      <c r="AX820"/>
      <c r="AY820"/>
      <c r="AZ820"/>
      <c r="BA820"/>
      <c r="BB820"/>
      <c r="BC820"/>
      <c r="BD820"/>
      <c r="BE820"/>
      <c r="BF820"/>
      <c r="BG820"/>
      <c r="BH820"/>
      <c r="BI820"/>
      <c r="BJ820"/>
      <c r="BK820"/>
      <c r="BL820"/>
      <c r="BM820"/>
      <c r="BN820"/>
      <c r="BO820"/>
      <c r="BP820"/>
      <c r="BQ820"/>
      <c r="BR820"/>
      <c r="BS820"/>
      <c r="BT820"/>
      <c r="BU820"/>
      <c r="BV820"/>
      <c r="BW820"/>
      <c r="BX820"/>
      <c r="BY820"/>
      <c r="BZ820"/>
    </row>
    <row r="821" spans="4:78" x14ac:dyDescent="0.25">
      <c r="D821"/>
      <c r="E821"/>
      <c r="F821"/>
      <c r="G821"/>
      <c r="H821"/>
      <c r="I821"/>
      <c r="J821"/>
      <c r="K821"/>
      <c r="L821"/>
      <c r="M821"/>
      <c r="N821"/>
      <c r="O821"/>
      <c r="P821"/>
      <c r="Q821"/>
      <c r="R821"/>
      <c r="S821"/>
      <c r="T821"/>
      <c r="U821"/>
      <c r="V821"/>
      <c r="W821"/>
      <c r="X821"/>
      <c r="Y821"/>
      <c r="Z821"/>
      <c r="AA821"/>
      <c r="AB821"/>
      <c r="AC821"/>
      <c r="AD821"/>
      <c r="AE821"/>
      <c r="AF821"/>
      <c r="AG821"/>
      <c r="AH821"/>
      <c r="AI821"/>
      <c r="AJ821"/>
      <c r="AK821"/>
      <c r="AL821"/>
      <c r="AM821"/>
      <c r="AN821"/>
      <c r="AO821"/>
      <c r="AP821"/>
      <c r="AQ821"/>
      <c r="AR821"/>
      <c r="AS821"/>
      <c r="AT821"/>
      <c r="AU821"/>
      <c r="AV821"/>
      <c r="AW821"/>
      <c r="AX821"/>
      <c r="AY821"/>
      <c r="AZ821"/>
      <c r="BA821"/>
      <c r="BB821"/>
      <c r="BC821"/>
      <c r="BD821"/>
      <c r="BE821"/>
      <c r="BF821"/>
      <c r="BG821"/>
      <c r="BH821"/>
      <c r="BI821"/>
      <c r="BJ821"/>
      <c r="BK821"/>
      <c r="BL821"/>
      <c r="BM821"/>
      <c r="BN821"/>
      <c r="BO821"/>
      <c r="BP821"/>
      <c r="BQ821"/>
      <c r="BR821"/>
      <c r="BS821"/>
      <c r="BT821"/>
      <c r="BU821"/>
      <c r="BV821"/>
      <c r="BW821"/>
      <c r="BX821"/>
      <c r="BY821"/>
      <c r="BZ821"/>
    </row>
    <row r="822" spans="4:78" x14ac:dyDescent="0.25">
      <c r="D822"/>
      <c r="E822"/>
      <c r="F822"/>
      <c r="G822"/>
      <c r="H822"/>
      <c r="I822"/>
      <c r="J822"/>
      <c r="K822"/>
      <c r="L822"/>
      <c r="M822"/>
      <c r="N822"/>
      <c r="O822"/>
      <c r="P822"/>
      <c r="Q822"/>
      <c r="R822"/>
      <c r="S822"/>
      <c r="T822"/>
      <c r="U822"/>
      <c r="V822"/>
      <c r="W822"/>
      <c r="X822"/>
      <c r="Y822"/>
      <c r="Z822"/>
      <c r="AA822"/>
      <c r="AB822"/>
      <c r="AC822"/>
      <c r="AD822"/>
      <c r="AE822"/>
      <c r="AF822"/>
      <c r="AG822"/>
      <c r="AH822"/>
      <c r="AI822"/>
      <c r="AJ822"/>
      <c r="AK822"/>
      <c r="AL822"/>
      <c r="AM822"/>
      <c r="AN822"/>
      <c r="AO822"/>
      <c r="AP822"/>
      <c r="AQ822"/>
      <c r="AR822"/>
      <c r="AS822"/>
      <c r="AT822"/>
      <c r="AU822"/>
      <c r="AV822"/>
      <c r="AW822"/>
      <c r="AX822"/>
      <c r="AY822"/>
      <c r="AZ822"/>
      <c r="BA822"/>
      <c r="BB822"/>
      <c r="BC822"/>
      <c r="BD822"/>
      <c r="BE822"/>
      <c r="BF822"/>
      <c r="BG822"/>
      <c r="BH822"/>
      <c r="BI822"/>
      <c r="BJ822"/>
      <c r="BK822"/>
      <c r="BL822"/>
      <c r="BM822"/>
      <c r="BN822"/>
      <c r="BO822"/>
      <c r="BP822"/>
      <c r="BQ822"/>
      <c r="BR822"/>
      <c r="BS822"/>
      <c r="BT822"/>
      <c r="BU822"/>
      <c r="BV822"/>
      <c r="BW822"/>
      <c r="BX822"/>
      <c r="BY822"/>
      <c r="BZ822"/>
    </row>
    <row r="823" spans="4:78" x14ac:dyDescent="0.25">
      <c r="D823"/>
      <c r="E823"/>
      <c r="F823"/>
      <c r="G823"/>
      <c r="H823"/>
      <c r="I823"/>
      <c r="J823"/>
      <c r="K823"/>
      <c r="L823"/>
      <c r="M823"/>
      <c r="N823"/>
      <c r="O823"/>
      <c r="P823"/>
      <c r="Q823"/>
      <c r="R823"/>
      <c r="S823"/>
      <c r="T823"/>
      <c r="U823"/>
      <c r="V823"/>
      <c r="W823"/>
      <c r="X823"/>
      <c r="Y823"/>
      <c r="Z823"/>
      <c r="AA823"/>
      <c r="AB823"/>
      <c r="AC823"/>
      <c r="AD823"/>
      <c r="AE823"/>
      <c r="AF823"/>
      <c r="AG823"/>
      <c r="AH823"/>
      <c r="AI823"/>
      <c r="AJ823"/>
      <c r="AK823"/>
      <c r="AL823"/>
      <c r="AM823"/>
      <c r="AN823"/>
      <c r="AO823"/>
      <c r="AP823"/>
      <c r="AQ823"/>
      <c r="AR823"/>
      <c r="AS823"/>
      <c r="AT823"/>
      <c r="AU823"/>
      <c r="AV823"/>
      <c r="AW823"/>
      <c r="AX823"/>
      <c r="AY823"/>
      <c r="AZ823"/>
      <c r="BA823"/>
      <c r="BB823"/>
      <c r="BC823"/>
      <c r="BD823"/>
      <c r="BE823"/>
      <c r="BF823"/>
      <c r="BG823"/>
      <c r="BH823"/>
      <c r="BI823"/>
      <c r="BJ823"/>
      <c r="BK823"/>
      <c r="BL823"/>
      <c r="BM823"/>
      <c r="BN823"/>
      <c r="BO823"/>
      <c r="BP823"/>
      <c r="BQ823"/>
      <c r="BR823"/>
      <c r="BS823"/>
      <c r="BT823"/>
      <c r="BU823"/>
      <c r="BV823"/>
      <c r="BW823"/>
      <c r="BX823"/>
      <c r="BY823"/>
      <c r="BZ823"/>
    </row>
    <row r="824" spans="4:78" x14ac:dyDescent="0.25">
      <c r="D824"/>
      <c r="E824"/>
      <c r="F824"/>
      <c r="G824"/>
      <c r="H824"/>
      <c r="I824"/>
      <c r="J824"/>
      <c r="K824"/>
      <c r="L824"/>
      <c r="M824"/>
      <c r="N824"/>
      <c r="O824"/>
      <c r="P824"/>
      <c r="Q824"/>
      <c r="R824"/>
      <c r="S824"/>
      <c r="T824"/>
      <c r="U824"/>
      <c r="V824"/>
      <c r="W824"/>
      <c r="X824"/>
      <c r="Y824"/>
      <c r="Z824"/>
      <c r="AA824"/>
      <c r="AB824"/>
      <c r="AC824"/>
      <c r="AD824"/>
      <c r="AE824"/>
      <c r="AF824"/>
      <c r="AG824"/>
      <c r="AH824"/>
      <c r="AI824"/>
      <c r="AJ824"/>
      <c r="AK824"/>
      <c r="AL824"/>
      <c r="AM824"/>
      <c r="AN824"/>
      <c r="AO824"/>
      <c r="AP824"/>
      <c r="AQ824"/>
      <c r="AR824"/>
      <c r="AS824"/>
      <c r="AT824"/>
      <c r="AU824"/>
      <c r="AV824"/>
      <c r="AW824"/>
      <c r="AX824"/>
      <c r="AY824"/>
      <c r="AZ824"/>
      <c r="BA824"/>
      <c r="BB824"/>
      <c r="BC824"/>
      <c r="BD824"/>
      <c r="BE824"/>
      <c r="BF824"/>
      <c r="BG824"/>
      <c r="BH824"/>
      <c r="BI824"/>
      <c r="BJ824"/>
      <c r="BK824"/>
      <c r="BL824"/>
      <c r="BM824"/>
      <c r="BN824"/>
      <c r="BO824"/>
      <c r="BP824"/>
      <c r="BQ824"/>
      <c r="BR824"/>
      <c r="BS824"/>
      <c r="BT824"/>
      <c r="BU824"/>
      <c r="BV824"/>
      <c r="BW824"/>
      <c r="BX824"/>
      <c r="BY824"/>
      <c r="BZ824"/>
    </row>
    <row r="825" spans="4:78" x14ac:dyDescent="0.25">
      <c r="D825"/>
      <c r="E825"/>
      <c r="F825"/>
      <c r="G825"/>
      <c r="H825"/>
      <c r="I825"/>
      <c r="J825"/>
      <c r="K825"/>
      <c r="L825"/>
      <c r="M825"/>
      <c r="N825"/>
      <c r="O825"/>
      <c r="P825"/>
      <c r="Q825"/>
      <c r="R825"/>
      <c r="S825"/>
      <c r="T825"/>
      <c r="U825"/>
      <c r="V825"/>
      <c r="W825"/>
      <c r="X825"/>
      <c r="Y825"/>
      <c r="Z825"/>
      <c r="AA825"/>
      <c r="AB825"/>
      <c r="AC825"/>
      <c r="AD825"/>
      <c r="AE825"/>
      <c r="AF825"/>
      <c r="AG825"/>
      <c r="AH825"/>
      <c r="AI825"/>
      <c r="AJ825"/>
      <c r="AK825"/>
      <c r="AL825"/>
      <c r="AM825"/>
      <c r="AN825"/>
      <c r="AO825"/>
      <c r="AP825"/>
      <c r="AQ825"/>
      <c r="AR825"/>
      <c r="AS825"/>
      <c r="AT825"/>
      <c r="AU825"/>
      <c r="AV825"/>
      <c r="AW825"/>
      <c r="AX825"/>
      <c r="AY825"/>
      <c r="AZ825"/>
      <c r="BA825"/>
      <c r="BB825"/>
      <c r="BC825"/>
      <c r="BD825"/>
      <c r="BE825"/>
      <c r="BF825"/>
      <c r="BG825"/>
      <c r="BH825"/>
      <c r="BI825"/>
      <c r="BJ825"/>
      <c r="BK825"/>
      <c r="BL825"/>
      <c r="BM825"/>
      <c r="BN825"/>
      <c r="BO825"/>
      <c r="BP825"/>
      <c r="BQ825"/>
      <c r="BR825"/>
      <c r="BS825"/>
      <c r="BT825"/>
      <c r="BU825"/>
      <c r="BV825"/>
      <c r="BW825"/>
      <c r="BX825"/>
      <c r="BY825"/>
      <c r="BZ825"/>
    </row>
    <row r="826" spans="4:78" x14ac:dyDescent="0.25">
      <c r="D826"/>
      <c r="E826"/>
      <c r="F826"/>
      <c r="G826"/>
      <c r="H826"/>
      <c r="I826"/>
      <c r="J826"/>
      <c r="K826"/>
      <c r="L826"/>
      <c r="M826"/>
      <c r="N826"/>
      <c r="O826"/>
      <c r="P826"/>
      <c r="Q826"/>
      <c r="R826"/>
      <c r="S826"/>
      <c r="T826"/>
      <c r="U826"/>
      <c r="V826"/>
      <c r="W826"/>
      <c r="X826"/>
      <c r="Y826"/>
      <c r="Z826"/>
      <c r="AA826"/>
      <c r="AB826"/>
      <c r="AC826"/>
      <c r="AD826"/>
      <c r="AE826"/>
      <c r="AF826"/>
      <c r="AG826"/>
      <c r="AH826"/>
      <c r="AI826"/>
      <c r="AJ826"/>
      <c r="AK826"/>
      <c r="AL826"/>
      <c r="AM826"/>
      <c r="AN826"/>
      <c r="AO826"/>
      <c r="AP826"/>
      <c r="AQ826"/>
      <c r="AR826"/>
      <c r="AS826"/>
      <c r="AT826"/>
      <c r="AU826"/>
      <c r="AV826"/>
      <c r="AW826"/>
      <c r="AX826"/>
      <c r="AY826"/>
      <c r="AZ826"/>
      <c r="BA826"/>
      <c r="BB826"/>
      <c r="BC826"/>
      <c r="BD826"/>
      <c r="BE826"/>
      <c r="BF826"/>
      <c r="BG826"/>
      <c r="BH826"/>
      <c r="BI826"/>
      <c r="BJ826"/>
      <c r="BK826"/>
      <c r="BL826"/>
      <c r="BM826"/>
      <c r="BN826"/>
      <c r="BO826"/>
      <c r="BP826"/>
      <c r="BQ826"/>
      <c r="BR826"/>
      <c r="BS826"/>
      <c r="BT826"/>
      <c r="BU826"/>
      <c r="BV826"/>
      <c r="BW826"/>
      <c r="BX826"/>
      <c r="BY826"/>
      <c r="BZ826"/>
    </row>
    <row r="827" spans="4:78" x14ac:dyDescent="0.25">
      <c r="D827"/>
      <c r="E827"/>
      <c r="F827"/>
      <c r="G827"/>
      <c r="H827"/>
      <c r="I827"/>
      <c r="J827"/>
      <c r="K827"/>
      <c r="L827"/>
      <c r="M827"/>
      <c r="N827"/>
      <c r="O827"/>
      <c r="P827"/>
      <c r="Q827"/>
      <c r="R827"/>
      <c r="S827"/>
      <c r="T827"/>
      <c r="U827"/>
      <c r="V827"/>
      <c r="W827"/>
      <c r="X827"/>
      <c r="Y827"/>
      <c r="Z827"/>
      <c r="AA827"/>
      <c r="AB827"/>
      <c r="AC827"/>
      <c r="AD827"/>
      <c r="AE827"/>
      <c r="AF827"/>
      <c r="AG827"/>
      <c r="AH827"/>
      <c r="AI827"/>
      <c r="AJ827"/>
      <c r="AK827"/>
      <c r="AL827"/>
      <c r="AM827"/>
      <c r="AN827"/>
      <c r="AO827"/>
      <c r="AP827"/>
      <c r="AQ827"/>
      <c r="AR827"/>
      <c r="AS827"/>
      <c r="AT827"/>
      <c r="AU827"/>
      <c r="AV827"/>
      <c r="AW827"/>
      <c r="AX827"/>
      <c r="AY827"/>
      <c r="AZ827"/>
      <c r="BA827"/>
      <c r="BB827"/>
      <c r="BC827"/>
      <c r="BD827"/>
      <c r="BE827"/>
      <c r="BF827"/>
      <c r="BG827"/>
      <c r="BH827"/>
      <c r="BI827"/>
      <c r="BJ827"/>
      <c r="BK827"/>
      <c r="BL827"/>
      <c r="BM827"/>
      <c r="BN827"/>
      <c r="BO827"/>
      <c r="BP827"/>
      <c r="BQ827"/>
      <c r="BR827"/>
      <c r="BS827"/>
      <c r="BT827"/>
      <c r="BU827"/>
      <c r="BV827"/>
      <c r="BW827"/>
      <c r="BX827"/>
      <c r="BY827"/>
      <c r="BZ827"/>
    </row>
    <row r="828" spans="4:78" x14ac:dyDescent="0.25">
      <c r="D828"/>
      <c r="E828"/>
      <c r="F828"/>
      <c r="G828"/>
      <c r="H828"/>
      <c r="I828"/>
      <c r="J828"/>
      <c r="K828"/>
      <c r="L828"/>
      <c r="M828"/>
      <c r="N828"/>
      <c r="O828"/>
      <c r="P828"/>
      <c r="Q828"/>
      <c r="R828"/>
      <c r="S828"/>
      <c r="T828"/>
      <c r="U828"/>
      <c r="V828"/>
      <c r="W828"/>
      <c r="X828"/>
      <c r="Y828"/>
      <c r="Z828"/>
      <c r="AA828"/>
      <c r="AB828"/>
      <c r="AC828"/>
      <c r="AD828"/>
      <c r="AE828"/>
      <c r="AF828"/>
      <c r="AG828"/>
      <c r="AH828"/>
      <c r="AI828"/>
      <c r="AJ828"/>
      <c r="AK828"/>
      <c r="AL828"/>
      <c r="AM828"/>
      <c r="AN828"/>
      <c r="AO828"/>
      <c r="AP828"/>
      <c r="AQ828"/>
      <c r="AR828"/>
      <c r="AS828"/>
      <c r="AT828"/>
      <c r="AU828"/>
      <c r="AV828"/>
      <c r="AW828"/>
      <c r="AX828"/>
      <c r="AY828"/>
      <c r="AZ828"/>
      <c r="BA828"/>
      <c r="BB828"/>
      <c r="BC828"/>
      <c r="BD828"/>
      <c r="BE828"/>
      <c r="BF828"/>
      <c r="BG828"/>
      <c r="BH828"/>
      <c r="BI828"/>
      <c r="BJ828"/>
      <c r="BK828"/>
      <c r="BL828"/>
      <c r="BM828"/>
      <c r="BN828"/>
      <c r="BO828"/>
      <c r="BP828"/>
      <c r="BQ828"/>
      <c r="BR828"/>
      <c r="BS828"/>
      <c r="BT828"/>
      <c r="BU828"/>
      <c r="BV828"/>
      <c r="BW828"/>
      <c r="BX828"/>
      <c r="BY828"/>
      <c r="BZ828"/>
    </row>
    <row r="829" spans="4:78" x14ac:dyDescent="0.25">
      <c r="D829"/>
      <c r="E829"/>
      <c r="F829"/>
      <c r="G829"/>
      <c r="H829"/>
      <c r="I829"/>
      <c r="J829"/>
      <c r="K829"/>
      <c r="L829"/>
      <c r="M829"/>
      <c r="N829"/>
      <c r="O829"/>
      <c r="P829"/>
      <c r="Q829"/>
      <c r="R829"/>
      <c r="S829"/>
      <c r="T829"/>
      <c r="U829"/>
      <c r="V829"/>
      <c r="W829"/>
      <c r="X829"/>
      <c r="Y829"/>
      <c r="Z829"/>
      <c r="AA829"/>
      <c r="AB829"/>
      <c r="AC829"/>
      <c r="AD829"/>
      <c r="AE829"/>
      <c r="AF829"/>
      <c r="AG829"/>
      <c r="AH829"/>
      <c r="AI829"/>
      <c r="AJ829"/>
      <c r="AK829"/>
      <c r="AL829"/>
      <c r="AM829"/>
      <c r="AN829"/>
      <c r="AO829"/>
      <c r="AP829"/>
      <c r="AQ829"/>
      <c r="AR829"/>
      <c r="AS829"/>
      <c r="AT829"/>
      <c r="AU829"/>
      <c r="AV829"/>
      <c r="AW829"/>
      <c r="AX829"/>
      <c r="AY829"/>
      <c r="AZ829"/>
      <c r="BA829"/>
      <c r="BB829"/>
      <c r="BC829"/>
      <c r="BD829"/>
      <c r="BE829"/>
      <c r="BF829"/>
      <c r="BG829"/>
      <c r="BH829"/>
      <c r="BI829"/>
      <c r="BJ829"/>
      <c r="BK829"/>
      <c r="BL829"/>
      <c r="BM829"/>
      <c r="BN829"/>
      <c r="BO829"/>
      <c r="BP829"/>
      <c r="BQ829"/>
      <c r="BR829"/>
      <c r="BS829"/>
      <c r="BT829"/>
      <c r="BU829"/>
      <c r="BV829"/>
      <c r="BW829"/>
      <c r="BX829"/>
      <c r="BY829"/>
      <c r="BZ829"/>
    </row>
    <row r="830" spans="4:78" x14ac:dyDescent="0.25">
      <c r="D830"/>
      <c r="E830"/>
      <c r="F830"/>
      <c r="G830"/>
      <c r="H830"/>
      <c r="I830"/>
      <c r="J830"/>
      <c r="K830"/>
      <c r="L830"/>
      <c r="M830"/>
      <c r="N830"/>
      <c r="O830"/>
      <c r="P830"/>
      <c r="Q830"/>
      <c r="R830"/>
      <c r="S830"/>
      <c r="T830"/>
      <c r="U830"/>
      <c r="V830"/>
      <c r="W830"/>
      <c r="X830"/>
      <c r="Y830"/>
      <c r="Z830"/>
      <c r="AA830"/>
      <c r="AB830"/>
      <c r="AC830"/>
      <c r="AD830"/>
      <c r="AE830"/>
      <c r="AF830"/>
      <c r="AG830"/>
      <c r="AH830"/>
      <c r="AI830"/>
      <c r="AJ830"/>
      <c r="AK830"/>
      <c r="AL830"/>
      <c r="AM830"/>
      <c r="AN830"/>
      <c r="AO830"/>
      <c r="AP830"/>
      <c r="AQ830"/>
      <c r="AR830"/>
      <c r="AS830"/>
      <c r="AT830"/>
      <c r="AU830"/>
      <c r="AV830"/>
      <c r="AW830"/>
      <c r="AX830"/>
      <c r="AY830"/>
      <c r="AZ830"/>
      <c r="BA830"/>
      <c r="BB830"/>
      <c r="BC830"/>
      <c r="BD830"/>
      <c r="BE830"/>
      <c r="BF830"/>
      <c r="BG830"/>
      <c r="BH830"/>
      <c r="BI830"/>
      <c r="BJ830"/>
      <c r="BK830"/>
      <c r="BL830"/>
      <c r="BM830"/>
      <c r="BN830"/>
      <c r="BO830"/>
      <c r="BP830"/>
      <c r="BQ830"/>
      <c r="BR830"/>
      <c r="BS830"/>
      <c r="BT830"/>
      <c r="BU830"/>
      <c r="BV830"/>
      <c r="BW830"/>
      <c r="BX830"/>
      <c r="BY830"/>
      <c r="BZ830"/>
    </row>
    <row r="831" spans="4:78" x14ac:dyDescent="0.25">
      <c r="D831"/>
      <c r="E831"/>
      <c r="F831"/>
      <c r="G831"/>
      <c r="H831"/>
      <c r="I831"/>
      <c r="J831"/>
      <c r="K831"/>
      <c r="L831"/>
      <c r="M831"/>
      <c r="N831"/>
      <c r="O831"/>
      <c r="P831"/>
      <c r="Q831"/>
      <c r="R831"/>
      <c r="S831"/>
      <c r="T831"/>
      <c r="U831"/>
      <c r="V831"/>
      <c r="W831"/>
      <c r="X831"/>
      <c r="Y831"/>
      <c r="Z831"/>
      <c r="AA831"/>
      <c r="AB831"/>
      <c r="AC831"/>
      <c r="AD831"/>
      <c r="AE831"/>
      <c r="AF831"/>
      <c r="AG831"/>
      <c r="AH831"/>
      <c r="AI831"/>
      <c r="AJ831"/>
      <c r="AK831"/>
      <c r="AL831"/>
      <c r="AM831"/>
      <c r="AN831"/>
      <c r="AO831"/>
      <c r="AP831"/>
      <c r="AQ831"/>
      <c r="AR831"/>
      <c r="AS831"/>
      <c r="AT831"/>
      <c r="AU831"/>
      <c r="AV831"/>
      <c r="AW831"/>
      <c r="AX831"/>
      <c r="AY831"/>
      <c r="AZ831"/>
      <c r="BA831"/>
      <c r="BB831"/>
      <c r="BC831"/>
      <c r="BD831"/>
      <c r="BE831"/>
      <c r="BF831"/>
      <c r="BG831"/>
      <c r="BH831"/>
      <c r="BI831"/>
      <c r="BJ831"/>
      <c r="BK831"/>
      <c r="BL831"/>
      <c r="BM831"/>
      <c r="BN831"/>
      <c r="BO831"/>
      <c r="BP831"/>
      <c r="BQ831"/>
      <c r="BR831"/>
      <c r="BS831"/>
      <c r="BT831"/>
      <c r="BU831"/>
      <c r="BV831"/>
      <c r="BW831"/>
      <c r="BX831"/>
      <c r="BY831"/>
      <c r="BZ831"/>
    </row>
    <row r="832" spans="4:78" x14ac:dyDescent="0.25">
      <c r="D832"/>
      <c r="E832"/>
      <c r="F832"/>
      <c r="G832"/>
      <c r="H832"/>
      <c r="I832"/>
      <c r="J832"/>
      <c r="K832"/>
      <c r="L832"/>
      <c r="M832"/>
      <c r="N832"/>
      <c r="O832"/>
      <c r="P832"/>
      <c r="Q832"/>
      <c r="R832"/>
      <c r="S832"/>
      <c r="T832"/>
      <c r="U832"/>
      <c r="V832"/>
      <c r="W832"/>
      <c r="X832"/>
      <c r="Y832"/>
      <c r="Z832"/>
      <c r="AA832"/>
      <c r="AB832"/>
      <c r="AC832"/>
      <c r="AD832"/>
      <c r="AE832"/>
      <c r="AF832"/>
      <c r="AG832"/>
      <c r="AH832"/>
      <c r="AI832"/>
      <c r="AJ832"/>
      <c r="AK832"/>
      <c r="AL832"/>
      <c r="AM832"/>
      <c r="AN832"/>
      <c r="AO832"/>
      <c r="AP832"/>
      <c r="AQ832"/>
      <c r="AR832"/>
      <c r="AS832"/>
      <c r="AT832"/>
      <c r="AU832"/>
      <c r="AV832"/>
      <c r="AW832"/>
      <c r="AX832"/>
      <c r="AY832"/>
      <c r="AZ832"/>
      <c r="BA832"/>
      <c r="BB832"/>
      <c r="BC832"/>
      <c r="BD832"/>
      <c r="BE832"/>
      <c r="BF832"/>
      <c r="BG832"/>
      <c r="BH832"/>
      <c r="BI832"/>
      <c r="BJ832"/>
      <c r="BK832"/>
      <c r="BL832"/>
      <c r="BM832"/>
      <c r="BN832"/>
      <c r="BO832"/>
      <c r="BP832"/>
      <c r="BQ832"/>
      <c r="BR832"/>
      <c r="BS832"/>
      <c r="BT832"/>
      <c r="BU832"/>
      <c r="BV832"/>
      <c r="BW832"/>
      <c r="BX832"/>
      <c r="BY832"/>
      <c r="BZ832"/>
    </row>
    <row r="833" spans="4:78" x14ac:dyDescent="0.25">
      <c r="D833"/>
      <c r="E833"/>
      <c r="F833"/>
      <c r="G833"/>
      <c r="H833"/>
      <c r="I833"/>
      <c r="J833"/>
      <c r="K833"/>
      <c r="L833"/>
      <c r="M833"/>
      <c r="N833"/>
      <c r="O833"/>
      <c r="P833"/>
      <c r="Q833"/>
      <c r="R833"/>
      <c r="S833"/>
      <c r="T833"/>
      <c r="U833"/>
      <c r="V833"/>
      <c r="W833"/>
      <c r="X833"/>
      <c r="Y833"/>
      <c r="Z833"/>
      <c r="AA833"/>
      <c r="AB833"/>
      <c r="AC833"/>
      <c r="AD833"/>
      <c r="AE833"/>
      <c r="AF833"/>
      <c r="AG833"/>
      <c r="AH833"/>
      <c r="AI833"/>
      <c r="AJ833"/>
      <c r="AK833"/>
      <c r="AL833"/>
      <c r="AM833"/>
      <c r="AN833"/>
      <c r="AO833"/>
      <c r="AP833"/>
      <c r="AQ833"/>
      <c r="AR833"/>
      <c r="AS833"/>
      <c r="AT833"/>
      <c r="AU833"/>
      <c r="AV833"/>
      <c r="AW833"/>
      <c r="AX833"/>
      <c r="AY833"/>
      <c r="AZ833"/>
      <c r="BA833"/>
      <c r="BB833"/>
      <c r="BC833"/>
      <c r="BD833"/>
      <c r="BE833"/>
      <c r="BF833"/>
      <c r="BG833"/>
      <c r="BH833"/>
      <c r="BI833"/>
      <c r="BJ833"/>
      <c r="BK833"/>
      <c r="BL833"/>
      <c r="BM833"/>
      <c r="BN833"/>
      <c r="BO833"/>
      <c r="BP833"/>
      <c r="BQ833"/>
      <c r="BR833"/>
      <c r="BS833"/>
      <c r="BT833"/>
      <c r="BU833"/>
      <c r="BV833"/>
      <c r="BW833"/>
      <c r="BX833"/>
      <c r="BY833"/>
      <c r="BZ833"/>
    </row>
    <row r="834" spans="4:78" x14ac:dyDescent="0.25">
      <c r="D834"/>
      <c r="E834"/>
      <c r="F834"/>
      <c r="G834"/>
      <c r="H834"/>
      <c r="I834"/>
      <c r="J834"/>
      <c r="K834"/>
      <c r="L834"/>
      <c r="M834"/>
      <c r="N834"/>
      <c r="O834"/>
      <c r="P834"/>
      <c r="Q834"/>
      <c r="R834"/>
      <c r="S834"/>
      <c r="T834"/>
      <c r="U834"/>
      <c r="V834"/>
      <c r="W834"/>
      <c r="X834"/>
      <c r="Y834"/>
      <c r="Z834"/>
      <c r="AA834"/>
      <c r="AB834"/>
      <c r="AC834"/>
      <c r="AD834"/>
      <c r="AE834"/>
      <c r="AF834"/>
      <c r="AG834"/>
      <c r="AH834"/>
      <c r="AI834"/>
      <c r="AJ834"/>
      <c r="AK834"/>
      <c r="AL834"/>
      <c r="AM834"/>
      <c r="AN834"/>
      <c r="AO834"/>
      <c r="AP834"/>
      <c r="AQ834"/>
      <c r="AR834"/>
      <c r="AS834"/>
      <c r="AT834"/>
      <c r="AU834"/>
      <c r="AV834"/>
      <c r="AW834"/>
      <c r="AX834"/>
      <c r="AY834"/>
      <c r="AZ834"/>
      <c r="BA834"/>
      <c r="BB834"/>
      <c r="BC834"/>
      <c r="BD834"/>
      <c r="BE834"/>
      <c r="BF834"/>
      <c r="BG834"/>
      <c r="BH834"/>
      <c r="BI834"/>
      <c r="BJ834"/>
      <c r="BK834"/>
      <c r="BL834"/>
      <c r="BM834"/>
      <c r="BN834"/>
      <c r="BO834"/>
      <c r="BP834"/>
      <c r="BQ834"/>
      <c r="BR834"/>
      <c r="BS834"/>
      <c r="BT834"/>
      <c r="BU834"/>
      <c r="BV834"/>
      <c r="BW834"/>
      <c r="BX834"/>
      <c r="BY834"/>
      <c r="BZ834"/>
    </row>
    <row r="835" spans="4:78" x14ac:dyDescent="0.25">
      <c r="D835"/>
      <c r="E835"/>
      <c r="F835"/>
      <c r="G835"/>
      <c r="H835"/>
      <c r="I835"/>
      <c r="J835"/>
      <c r="K835"/>
      <c r="L835"/>
      <c r="M835"/>
      <c r="N835"/>
      <c r="O835"/>
      <c r="P835"/>
      <c r="Q835"/>
      <c r="R835"/>
      <c r="S835"/>
      <c r="T835"/>
      <c r="U835"/>
      <c r="V835"/>
      <c r="W835"/>
      <c r="X835"/>
      <c r="Y835"/>
      <c r="Z835"/>
      <c r="AA835"/>
      <c r="AB835"/>
      <c r="AC835"/>
      <c r="AD835"/>
      <c r="AE835"/>
      <c r="AF835"/>
      <c r="AG835"/>
      <c r="AH835"/>
      <c r="AI835"/>
      <c r="AJ835"/>
      <c r="AK835"/>
      <c r="AL835"/>
      <c r="AM835"/>
      <c r="AN835"/>
      <c r="AO835"/>
      <c r="AP835"/>
      <c r="AQ835"/>
      <c r="AR835"/>
      <c r="AS835"/>
      <c r="AT835"/>
      <c r="AU835"/>
      <c r="AV835"/>
      <c r="AW835"/>
      <c r="AX835"/>
      <c r="AY835"/>
      <c r="AZ835"/>
      <c r="BA835"/>
      <c r="BB835"/>
      <c r="BC835"/>
      <c r="BD835"/>
      <c r="BE835"/>
      <c r="BF835"/>
      <c r="BG835"/>
      <c r="BH835"/>
      <c r="BI835"/>
      <c r="BJ835"/>
      <c r="BK835"/>
      <c r="BL835"/>
      <c r="BM835"/>
      <c r="BN835"/>
      <c r="BO835"/>
      <c r="BP835"/>
      <c r="BQ835"/>
      <c r="BR835"/>
      <c r="BS835"/>
      <c r="BT835"/>
      <c r="BU835"/>
      <c r="BV835"/>
      <c r="BW835"/>
      <c r="BX835"/>
      <c r="BY835"/>
      <c r="BZ835"/>
    </row>
    <row r="836" spans="4:78" x14ac:dyDescent="0.25">
      <c r="D836"/>
      <c r="E836"/>
      <c r="F836"/>
      <c r="G836"/>
      <c r="H836"/>
      <c r="I836"/>
      <c r="J836"/>
      <c r="K836"/>
      <c r="L836"/>
      <c r="M836"/>
      <c r="N836"/>
      <c r="O836"/>
      <c r="P836"/>
      <c r="Q836"/>
      <c r="R836"/>
      <c r="S836"/>
      <c r="T836"/>
      <c r="U836"/>
      <c r="V836"/>
      <c r="W836"/>
      <c r="X836"/>
      <c r="Y836"/>
      <c r="Z836"/>
      <c r="AA836"/>
      <c r="AB836"/>
      <c r="AC836"/>
      <c r="AD836"/>
      <c r="AE836"/>
      <c r="AF836"/>
      <c r="AG836"/>
      <c r="AH836"/>
      <c r="AI836"/>
      <c r="AJ836"/>
      <c r="AK836"/>
      <c r="AL836"/>
      <c r="AM836"/>
      <c r="AN836"/>
      <c r="AO836"/>
      <c r="AP836"/>
      <c r="AQ836"/>
      <c r="AR836"/>
      <c r="AS836"/>
      <c r="AT836"/>
      <c r="AU836"/>
      <c r="AV836"/>
      <c r="AW836"/>
      <c r="AX836"/>
      <c r="AY836"/>
      <c r="AZ836"/>
      <c r="BA836"/>
      <c r="BB836"/>
      <c r="BC836"/>
      <c r="BD836"/>
      <c r="BE836"/>
      <c r="BF836"/>
      <c r="BG836"/>
      <c r="BH836"/>
      <c r="BI836"/>
      <c r="BJ836"/>
      <c r="BK836"/>
      <c r="BL836"/>
      <c r="BM836"/>
      <c r="BN836"/>
      <c r="BO836"/>
      <c r="BP836"/>
      <c r="BQ836"/>
      <c r="BR836"/>
      <c r="BS836"/>
      <c r="BT836"/>
      <c r="BU836"/>
      <c r="BV836"/>
      <c r="BW836"/>
      <c r="BX836"/>
      <c r="BY836"/>
      <c r="BZ836"/>
    </row>
    <row r="837" spans="4:78" x14ac:dyDescent="0.25">
      <c r="D837"/>
      <c r="E837"/>
      <c r="F837"/>
      <c r="G837"/>
      <c r="H837"/>
      <c r="I837"/>
      <c r="J837"/>
      <c r="K837"/>
      <c r="L837"/>
      <c r="M837"/>
      <c r="N837"/>
      <c r="O837"/>
      <c r="P837"/>
      <c r="Q837"/>
      <c r="R837"/>
      <c r="S837"/>
      <c r="T837"/>
      <c r="U837"/>
      <c r="V837"/>
      <c r="W837"/>
      <c r="X837"/>
      <c r="Y837"/>
      <c r="Z837"/>
      <c r="AA837"/>
      <c r="AB837"/>
      <c r="AC837"/>
      <c r="AD837"/>
      <c r="AE837"/>
      <c r="AF837"/>
      <c r="AG837"/>
      <c r="AH837"/>
      <c r="AI837"/>
      <c r="AJ837"/>
      <c r="AK837"/>
      <c r="AL837"/>
      <c r="AM837"/>
      <c r="AN837"/>
      <c r="AO837"/>
      <c r="AP837"/>
      <c r="AQ837"/>
      <c r="AR837"/>
      <c r="AS837"/>
      <c r="AT837"/>
      <c r="AU837"/>
      <c r="AV837"/>
      <c r="AW837"/>
      <c r="AX837"/>
      <c r="AY837"/>
      <c r="AZ837"/>
      <c r="BA837"/>
      <c r="BB837"/>
      <c r="BC837"/>
      <c r="BD837"/>
      <c r="BE837"/>
      <c r="BF837"/>
      <c r="BG837"/>
      <c r="BH837"/>
      <c r="BI837"/>
      <c r="BJ837"/>
      <c r="BK837"/>
      <c r="BL837"/>
      <c r="BM837"/>
      <c r="BN837"/>
      <c r="BO837"/>
      <c r="BP837"/>
      <c r="BQ837"/>
      <c r="BR837"/>
      <c r="BS837"/>
      <c r="BT837"/>
      <c r="BU837"/>
      <c r="BV837"/>
      <c r="BW837"/>
      <c r="BX837"/>
      <c r="BY837"/>
      <c r="BZ837"/>
    </row>
    <row r="838" spans="4:78" x14ac:dyDescent="0.25">
      <c r="D838"/>
      <c r="E838"/>
      <c r="F838"/>
      <c r="G838"/>
      <c r="H838"/>
      <c r="I838"/>
      <c r="J838"/>
      <c r="K838"/>
      <c r="L838"/>
      <c r="M838"/>
      <c r="N838"/>
      <c r="O838"/>
      <c r="P838"/>
      <c r="Q838"/>
      <c r="R838"/>
      <c r="S838"/>
      <c r="T838"/>
      <c r="U838"/>
      <c r="V838"/>
      <c r="W838"/>
      <c r="X838"/>
      <c r="Y838"/>
      <c r="Z838"/>
      <c r="AA838"/>
      <c r="AB838"/>
      <c r="AC838"/>
      <c r="AD838"/>
      <c r="AE838"/>
      <c r="AF838"/>
      <c r="AG838"/>
      <c r="AH838"/>
      <c r="AI838"/>
      <c r="AJ838"/>
      <c r="AK838"/>
      <c r="AL838"/>
      <c r="AM838"/>
      <c r="AN838"/>
      <c r="AO838"/>
      <c r="AP838"/>
      <c r="AQ838"/>
      <c r="AR838"/>
      <c r="AS838"/>
      <c r="AT838"/>
      <c r="AU838"/>
      <c r="AV838"/>
      <c r="AW838"/>
      <c r="AX838"/>
      <c r="AY838"/>
      <c r="AZ838"/>
      <c r="BA838"/>
      <c r="BB838"/>
      <c r="BC838"/>
      <c r="BD838"/>
      <c r="BE838"/>
      <c r="BF838"/>
      <c r="BG838"/>
      <c r="BH838"/>
      <c r="BI838"/>
      <c r="BJ838"/>
      <c r="BK838"/>
      <c r="BL838"/>
      <c r="BM838"/>
      <c r="BN838"/>
      <c r="BO838"/>
      <c r="BP838"/>
      <c r="BQ838"/>
      <c r="BR838"/>
      <c r="BS838"/>
      <c r="BT838"/>
      <c r="BU838"/>
      <c r="BV838"/>
      <c r="BW838"/>
      <c r="BX838"/>
      <c r="BY838"/>
      <c r="BZ838"/>
    </row>
    <row r="839" spans="4:78" x14ac:dyDescent="0.25">
      <c r="D839"/>
      <c r="E839"/>
      <c r="F839"/>
      <c r="G839"/>
      <c r="H839"/>
      <c r="I839"/>
      <c r="J839"/>
      <c r="K839"/>
      <c r="L839"/>
      <c r="M839"/>
      <c r="N839"/>
      <c r="O839"/>
      <c r="P839"/>
      <c r="Q839"/>
      <c r="R839"/>
      <c r="S839"/>
      <c r="T839"/>
      <c r="U839"/>
      <c r="V839"/>
      <c r="W839"/>
      <c r="X839"/>
      <c r="Y839"/>
      <c r="Z839"/>
      <c r="AA839"/>
      <c r="AB839"/>
      <c r="AC839"/>
      <c r="AD839"/>
      <c r="AE839"/>
      <c r="AF839"/>
      <c r="AG839"/>
      <c r="AH839"/>
      <c r="AI839"/>
      <c r="AJ839"/>
      <c r="AK839"/>
      <c r="AL839"/>
      <c r="AM839"/>
      <c r="AN839"/>
      <c r="AO839"/>
      <c r="AP839"/>
      <c r="AQ839"/>
      <c r="AR839"/>
      <c r="AS839"/>
      <c r="AT839"/>
      <c r="AU839"/>
      <c r="AV839"/>
      <c r="AW839"/>
      <c r="AX839"/>
      <c r="AY839"/>
      <c r="AZ839"/>
      <c r="BA839"/>
      <c r="BB839"/>
      <c r="BC839"/>
      <c r="BD839"/>
      <c r="BE839"/>
      <c r="BF839"/>
      <c r="BG839"/>
      <c r="BH839"/>
      <c r="BI839"/>
      <c r="BJ839"/>
      <c r="BK839"/>
      <c r="BL839"/>
      <c r="BM839"/>
      <c r="BN839"/>
      <c r="BO839"/>
      <c r="BP839"/>
      <c r="BQ839"/>
      <c r="BR839"/>
      <c r="BS839"/>
      <c r="BT839"/>
      <c r="BU839"/>
      <c r="BV839"/>
      <c r="BW839"/>
      <c r="BX839"/>
      <c r="BY839"/>
      <c r="BZ839"/>
    </row>
    <row r="840" spans="4:78" x14ac:dyDescent="0.25">
      <c r="D840"/>
      <c r="E840"/>
      <c r="F840"/>
      <c r="G840"/>
      <c r="H840"/>
      <c r="I840"/>
      <c r="J840"/>
      <c r="K840"/>
      <c r="L840"/>
      <c r="M840"/>
      <c r="N840"/>
      <c r="O840"/>
      <c r="P840"/>
      <c r="Q840"/>
      <c r="R840"/>
      <c r="S840"/>
      <c r="T840"/>
      <c r="U840"/>
      <c r="V840"/>
      <c r="W840"/>
      <c r="X840"/>
      <c r="Y840"/>
      <c r="Z840"/>
      <c r="AA840"/>
      <c r="AB840"/>
      <c r="AC840"/>
      <c r="AD840"/>
      <c r="AE840"/>
      <c r="AF840"/>
      <c r="AG840"/>
      <c r="AH840"/>
      <c r="AI840"/>
      <c r="AJ840"/>
      <c r="AK840"/>
      <c r="AL840"/>
      <c r="AM840"/>
      <c r="AN840"/>
      <c r="AO840"/>
      <c r="AP840"/>
      <c r="AQ840"/>
      <c r="AR840"/>
      <c r="AS840"/>
      <c r="AT840"/>
      <c r="AU840"/>
      <c r="AV840"/>
      <c r="AW840"/>
      <c r="AX840"/>
      <c r="AY840"/>
      <c r="AZ840"/>
      <c r="BA840"/>
      <c r="BB840"/>
      <c r="BC840"/>
      <c r="BD840"/>
      <c r="BE840"/>
      <c r="BF840"/>
      <c r="BG840"/>
      <c r="BH840"/>
      <c r="BI840"/>
      <c r="BJ840"/>
      <c r="BK840"/>
      <c r="BL840"/>
      <c r="BM840"/>
      <c r="BN840"/>
      <c r="BO840"/>
      <c r="BP840"/>
      <c r="BQ840"/>
      <c r="BR840"/>
      <c r="BS840"/>
      <c r="BT840"/>
      <c r="BU840"/>
      <c r="BV840"/>
      <c r="BW840"/>
      <c r="BX840"/>
      <c r="BY840"/>
      <c r="BZ840"/>
    </row>
    <row r="841" spans="4:78" x14ac:dyDescent="0.25">
      <c r="D841"/>
      <c r="E841"/>
      <c r="F841"/>
      <c r="G841"/>
      <c r="H841"/>
      <c r="I841"/>
      <c r="J841"/>
      <c r="K841"/>
      <c r="L841"/>
      <c r="M841"/>
      <c r="N841"/>
      <c r="O841"/>
      <c r="P841"/>
      <c r="Q841"/>
      <c r="R841"/>
      <c r="S841"/>
      <c r="T841"/>
      <c r="U841"/>
      <c r="V841"/>
      <c r="W841"/>
      <c r="X841"/>
      <c r="Y841"/>
      <c r="Z841"/>
      <c r="AA841"/>
      <c r="AB841"/>
      <c r="AC841"/>
      <c r="AD841"/>
      <c r="AE841"/>
      <c r="AF841"/>
      <c r="AG841"/>
      <c r="AH841"/>
      <c r="AI841"/>
      <c r="AJ841"/>
      <c r="AK841"/>
      <c r="AL841"/>
      <c r="AM841"/>
      <c r="AN841"/>
      <c r="AO841"/>
      <c r="AP841"/>
      <c r="AQ841"/>
      <c r="AR841"/>
      <c r="AS841"/>
      <c r="AT841"/>
      <c r="AU841"/>
      <c r="AV841"/>
      <c r="AW841"/>
      <c r="AX841"/>
      <c r="AY841"/>
      <c r="AZ841"/>
      <c r="BA841"/>
      <c r="BB841"/>
      <c r="BC841"/>
      <c r="BD841"/>
      <c r="BE841"/>
      <c r="BF841"/>
      <c r="BG841"/>
      <c r="BH841"/>
      <c r="BI841"/>
      <c r="BJ841"/>
      <c r="BK841"/>
      <c r="BL841"/>
      <c r="BM841"/>
      <c r="BN841"/>
      <c r="BO841"/>
      <c r="BP841"/>
      <c r="BQ841"/>
      <c r="BR841"/>
      <c r="BS841"/>
      <c r="BT841"/>
      <c r="BU841"/>
      <c r="BV841"/>
      <c r="BW841"/>
      <c r="BX841"/>
      <c r="BY841"/>
      <c r="BZ841"/>
    </row>
    <row r="842" spans="4:78" x14ac:dyDescent="0.25">
      <c r="D842"/>
      <c r="E842"/>
      <c r="F842"/>
      <c r="G842"/>
      <c r="H842"/>
      <c r="I842"/>
      <c r="J842"/>
      <c r="K842"/>
      <c r="L842"/>
      <c r="M842"/>
      <c r="N842"/>
      <c r="O842"/>
      <c r="P842"/>
      <c r="Q842"/>
      <c r="R842"/>
      <c r="S842"/>
      <c r="T842"/>
      <c r="U842"/>
      <c r="V842"/>
      <c r="W842"/>
      <c r="X842"/>
      <c r="Y842"/>
      <c r="Z842"/>
      <c r="AA842"/>
      <c r="AB842"/>
      <c r="AC842"/>
      <c r="AD842"/>
      <c r="AE842"/>
      <c r="AF842"/>
      <c r="AG842"/>
      <c r="AH842"/>
      <c r="AI842"/>
      <c r="AJ842"/>
      <c r="AK842"/>
      <c r="AL842"/>
      <c r="AM842"/>
      <c r="AN842"/>
      <c r="AO842"/>
      <c r="AP842"/>
      <c r="AQ842"/>
      <c r="AR842"/>
      <c r="AS842"/>
      <c r="AT842"/>
      <c r="AU842"/>
      <c r="AV842"/>
      <c r="AW842"/>
      <c r="AX842"/>
      <c r="AY842"/>
      <c r="AZ842"/>
      <c r="BA842"/>
      <c r="BB842"/>
      <c r="BC842"/>
      <c r="BD842"/>
      <c r="BE842"/>
      <c r="BF842"/>
      <c r="BG842"/>
      <c r="BH842"/>
      <c r="BI842"/>
      <c r="BJ842"/>
      <c r="BK842"/>
      <c r="BL842"/>
      <c r="BM842"/>
      <c r="BN842"/>
      <c r="BO842"/>
      <c r="BP842"/>
      <c r="BQ842"/>
      <c r="BR842"/>
      <c r="BS842"/>
      <c r="BT842"/>
      <c r="BU842"/>
      <c r="BV842"/>
      <c r="BW842"/>
      <c r="BX842"/>
      <c r="BY842"/>
      <c r="BZ842"/>
    </row>
    <row r="843" spans="4:78" x14ac:dyDescent="0.25">
      <c r="D843"/>
      <c r="E843"/>
      <c r="F843"/>
      <c r="G843"/>
      <c r="H843"/>
      <c r="I843"/>
      <c r="J843"/>
      <c r="K843"/>
      <c r="L843"/>
      <c r="M843"/>
      <c r="N843"/>
      <c r="O843"/>
      <c r="P843"/>
      <c r="Q843"/>
      <c r="R843"/>
      <c r="S843"/>
      <c r="T843"/>
      <c r="U843"/>
      <c r="V843"/>
      <c r="W843"/>
      <c r="X843"/>
      <c r="Y843"/>
      <c r="Z843"/>
      <c r="AA843"/>
      <c r="AB843"/>
      <c r="AC843"/>
      <c r="AD843"/>
      <c r="AE843"/>
      <c r="AF843"/>
      <c r="AG843"/>
      <c r="AH843"/>
      <c r="AI843"/>
      <c r="AJ843"/>
      <c r="AK843"/>
      <c r="AL843"/>
      <c r="AM843"/>
      <c r="AN843"/>
      <c r="AO843"/>
      <c r="AP843"/>
      <c r="AQ843"/>
      <c r="AR843"/>
      <c r="AS843"/>
      <c r="AT843"/>
      <c r="AU843"/>
      <c r="AV843"/>
      <c r="AW843"/>
      <c r="AX843"/>
      <c r="AY843"/>
      <c r="AZ843"/>
      <c r="BA843"/>
      <c r="BB843"/>
      <c r="BC843"/>
      <c r="BD843"/>
      <c r="BE843"/>
      <c r="BF843"/>
      <c r="BG843"/>
      <c r="BH843"/>
      <c r="BI843"/>
      <c r="BJ843"/>
      <c r="BK843"/>
      <c r="BL843"/>
      <c r="BM843"/>
      <c r="BN843"/>
      <c r="BO843"/>
      <c r="BP843"/>
      <c r="BQ843"/>
      <c r="BR843"/>
      <c r="BS843"/>
      <c r="BT843"/>
      <c r="BU843"/>
      <c r="BV843"/>
      <c r="BW843"/>
      <c r="BX843"/>
      <c r="BY843"/>
      <c r="BZ843"/>
    </row>
    <row r="844" spans="4:78" x14ac:dyDescent="0.25">
      <c r="D844"/>
      <c r="E844"/>
      <c r="F844"/>
      <c r="G844"/>
      <c r="H844"/>
      <c r="I844"/>
      <c r="J844"/>
      <c r="K844"/>
      <c r="L844"/>
      <c r="M844"/>
      <c r="N844"/>
      <c r="O844"/>
      <c r="P844"/>
      <c r="Q844"/>
      <c r="R844"/>
      <c r="S844"/>
      <c r="T844"/>
      <c r="U844"/>
      <c r="V844"/>
      <c r="W844"/>
      <c r="X844"/>
      <c r="Y844"/>
      <c r="Z844"/>
      <c r="AA844"/>
      <c r="AB844"/>
      <c r="AC844"/>
      <c r="AD844"/>
      <c r="AE844"/>
      <c r="AF844"/>
      <c r="AG844"/>
      <c r="AH844"/>
      <c r="AI844"/>
      <c r="AJ844"/>
      <c r="AK844"/>
      <c r="AL844"/>
      <c r="AM844"/>
      <c r="AN844"/>
      <c r="AO844"/>
      <c r="AP844"/>
      <c r="AQ844"/>
      <c r="AR844"/>
      <c r="AS844"/>
      <c r="AT844"/>
      <c r="AU844"/>
      <c r="AV844"/>
      <c r="AW844"/>
      <c r="AX844"/>
      <c r="AY844"/>
      <c r="AZ844"/>
      <c r="BA844"/>
      <c r="BB844"/>
      <c r="BC844"/>
      <c r="BD844"/>
      <c r="BE844"/>
      <c r="BF844"/>
      <c r="BG844"/>
      <c r="BH844"/>
      <c r="BI844"/>
      <c r="BJ844"/>
      <c r="BK844"/>
      <c r="BL844"/>
      <c r="BM844"/>
      <c r="BN844"/>
      <c r="BO844"/>
      <c r="BP844"/>
      <c r="BQ844"/>
      <c r="BR844"/>
      <c r="BS844"/>
      <c r="BT844"/>
      <c r="BU844"/>
      <c r="BV844"/>
      <c r="BW844"/>
      <c r="BX844"/>
      <c r="BY844"/>
      <c r="BZ844"/>
    </row>
    <row r="845" spans="4:78" x14ac:dyDescent="0.25">
      <c r="D845"/>
      <c r="E845"/>
      <c r="F845"/>
      <c r="G845"/>
      <c r="H845"/>
      <c r="I845"/>
      <c r="J845"/>
      <c r="K845"/>
      <c r="L845"/>
      <c r="M845"/>
      <c r="N845"/>
      <c r="O845"/>
      <c r="P845"/>
      <c r="Q845"/>
      <c r="R845"/>
      <c r="S845"/>
      <c r="T845"/>
      <c r="U845"/>
      <c r="V845"/>
      <c r="W845"/>
      <c r="X845"/>
      <c r="Y845"/>
      <c r="Z845"/>
      <c r="AA845"/>
      <c r="AB845"/>
      <c r="AC845"/>
      <c r="AD845"/>
      <c r="AE845"/>
      <c r="AF845"/>
      <c r="AG845"/>
      <c r="AH845"/>
      <c r="AI845"/>
      <c r="AJ845"/>
      <c r="AK845"/>
      <c r="AL845"/>
      <c r="AM845"/>
      <c r="AN845"/>
      <c r="AO845"/>
      <c r="AP845"/>
      <c r="AQ845"/>
      <c r="AR845"/>
      <c r="AS845"/>
      <c r="AT845"/>
      <c r="AU845"/>
      <c r="AV845"/>
      <c r="AW845"/>
      <c r="AX845"/>
      <c r="AY845"/>
      <c r="AZ845"/>
      <c r="BA845"/>
      <c r="BB845"/>
      <c r="BC845"/>
      <c r="BD845"/>
      <c r="BE845"/>
      <c r="BF845"/>
      <c r="BG845"/>
      <c r="BH845"/>
      <c r="BI845"/>
      <c r="BJ845"/>
      <c r="BK845"/>
      <c r="BL845"/>
      <c r="BM845"/>
      <c r="BN845"/>
      <c r="BO845"/>
      <c r="BP845"/>
      <c r="BQ845"/>
      <c r="BR845"/>
      <c r="BS845"/>
      <c r="BT845"/>
      <c r="BU845"/>
      <c r="BV845"/>
      <c r="BW845"/>
      <c r="BX845"/>
      <c r="BY845"/>
      <c r="BZ845"/>
    </row>
    <row r="846" spans="4:78" x14ac:dyDescent="0.25">
      <c r="D846"/>
      <c r="E846"/>
      <c r="F846"/>
      <c r="G846"/>
      <c r="H846"/>
      <c r="I846"/>
      <c r="J846"/>
      <c r="K846"/>
      <c r="L846"/>
      <c r="M846"/>
      <c r="N846"/>
      <c r="O846"/>
      <c r="P846"/>
      <c r="Q846"/>
      <c r="R846"/>
      <c r="S846"/>
      <c r="T846"/>
      <c r="U846"/>
      <c r="V846"/>
      <c r="W846"/>
      <c r="X846"/>
      <c r="Y846"/>
      <c r="Z846"/>
      <c r="AA846"/>
      <c r="AB846"/>
      <c r="AC846"/>
      <c r="AD846"/>
      <c r="AE846"/>
      <c r="AF846"/>
      <c r="AG846"/>
      <c r="AH846"/>
      <c r="AI846"/>
      <c r="AJ846"/>
      <c r="AK846"/>
      <c r="AL846"/>
      <c r="AM846"/>
      <c r="AN846"/>
      <c r="AO846"/>
      <c r="AP846"/>
      <c r="AQ846"/>
      <c r="AR846"/>
      <c r="AS846"/>
      <c r="AT846"/>
      <c r="AU846"/>
      <c r="AV846"/>
      <c r="AW846"/>
      <c r="AX846"/>
      <c r="AY846"/>
      <c r="AZ846"/>
      <c r="BA846"/>
      <c r="BB846"/>
      <c r="BC846"/>
      <c r="BD846"/>
      <c r="BE846"/>
      <c r="BF846"/>
      <c r="BG846"/>
      <c r="BH846"/>
      <c r="BI846"/>
      <c r="BJ846"/>
      <c r="BK846"/>
      <c r="BL846"/>
      <c r="BM846"/>
      <c r="BN846"/>
      <c r="BO846"/>
      <c r="BP846"/>
      <c r="BQ846"/>
      <c r="BR846"/>
      <c r="BS846"/>
      <c r="BT846"/>
      <c r="BU846"/>
      <c r="BV846"/>
      <c r="BW846"/>
      <c r="BX846"/>
      <c r="BY846"/>
      <c r="BZ846"/>
    </row>
    <row r="847" spans="4:78" x14ac:dyDescent="0.25">
      <c r="D847"/>
      <c r="E847"/>
      <c r="F847"/>
      <c r="G847"/>
      <c r="H847"/>
      <c r="I847"/>
      <c r="J847"/>
      <c r="K847"/>
      <c r="L847"/>
      <c r="M847"/>
      <c r="N847"/>
      <c r="O847"/>
      <c r="P847"/>
      <c r="Q847"/>
      <c r="R847"/>
      <c r="S847"/>
      <c r="T847"/>
      <c r="U847"/>
      <c r="V847"/>
      <c r="W847"/>
      <c r="X847"/>
      <c r="Y847"/>
      <c r="Z847"/>
      <c r="AA847"/>
      <c r="AB847"/>
      <c r="AC847"/>
      <c r="AD847"/>
      <c r="AE847"/>
      <c r="AF847"/>
      <c r="AG847"/>
      <c r="AH847"/>
      <c r="AI847"/>
      <c r="AJ847"/>
      <c r="AK847"/>
      <c r="AL847"/>
      <c r="AM847"/>
      <c r="AN847"/>
      <c r="AO847"/>
      <c r="AP847"/>
      <c r="AQ847"/>
      <c r="AR847"/>
      <c r="AS847"/>
      <c r="AT847"/>
      <c r="AU847"/>
      <c r="AV847"/>
      <c r="AW847"/>
      <c r="AX847"/>
      <c r="AY847"/>
      <c r="AZ847"/>
      <c r="BA847"/>
      <c r="BB847"/>
      <c r="BC847"/>
      <c r="BD847"/>
      <c r="BE847"/>
      <c r="BF847"/>
      <c r="BG847"/>
      <c r="BH847"/>
      <c r="BI847"/>
      <c r="BJ847"/>
      <c r="BK847"/>
      <c r="BL847"/>
      <c r="BM847"/>
      <c r="BN847"/>
      <c r="BO847"/>
      <c r="BP847"/>
      <c r="BQ847"/>
      <c r="BR847"/>
      <c r="BS847"/>
      <c r="BT847"/>
      <c r="BU847"/>
      <c r="BV847"/>
      <c r="BW847"/>
      <c r="BX847"/>
      <c r="BY847"/>
      <c r="BZ847"/>
    </row>
    <row r="848" spans="4:78" x14ac:dyDescent="0.25">
      <c r="D848"/>
      <c r="E848"/>
      <c r="F848"/>
      <c r="G848"/>
      <c r="H848"/>
      <c r="I848"/>
      <c r="J848"/>
      <c r="K848"/>
      <c r="L848"/>
      <c r="M848"/>
      <c r="N848"/>
      <c r="O848"/>
      <c r="P848"/>
      <c r="Q848"/>
      <c r="R848"/>
      <c r="S848"/>
      <c r="T848"/>
      <c r="U848"/>
      <c r="V848"/>
      <c r="W848"/>
      <c r="X848"/>
      <c r="Y848"/>
      <c r="Z848"/>
      <c r="AA848"/>
      <c r="AB848"/>
      <c r="AC848"/>
      <c r="AD848"/>
      <c r="AE848"/>
      <c r="AF848"/>
      <c r="AG848"/>
      <c r="AH848"/>
      <c r="AI848"/>
      <c r="AJ848"/>
      <c r="AK848"/>
      <c r="AL848"/>
      <c r="AM848"/>
      <c r="AN848"/>
      <c r="AO848"/>
      <c r="AP848"/>
      <c r="AQ848"/>
      <c r="AR848"/>
      <c r="AS848"/>
      <c r="AT848"/>
      <c r="AU848"/>
      <c r="AV848"/>
      <c r="AW848"/>
      <c r="AX848"/>
      <c r="AY848"/>
      <c r="AZ848"/>
      <c r="BA848"/>
      <c r="BB848"/>
      <c r="BC848"/>
      <c r="BD848"/>
      <c r="BE848"/>
      <c r="BF848"/>
      <c r="BG848"/>
      <c r="BH848"/>
      <c r="BI848"/>
      <c r="BJ848"/>
      <c r="BK848"/>
      <c r="BL848"/>
      <c r="BM848"/>
      <c r="BN848"/>
      <c r="BO848"/>
      <c r="BP848"/>
      <c r="BQ848"/>
      <c r="BR848"/>
      <c r="BS848"/>
      <c r="BT848"/>
      <c r="BU848"/>
      <c r="BV848"/>
      <c r="BW848"/>
      <c r="BX848"/>
      <c r="BY848"/>
      <c r="BZ848"/>
    </row>
    <row r="849" spans="4:78" x14ac:dyDescent="0.25">
      <c r="D849"/>
      <c r="E849"/>
      <c r="F849"/>
      <c r="G849"/>
      <c r="H849"/>
      <c r="I849"/>
      <c r="J849"/>
      <c r="K849"/>
      <c r="L849"/>
      <c r="M849"/>
      <c r="N849"/>
      <c r="O849"/>
      <c r="P849"/>
      <c r="Q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row>
    <row r="850" spans="4:78" x14ac:dyDescent="0.25">
      <c r="D850"/>
      <c r="E850"/>
      <c r="F850"/>
      <c r="G850"/>
      <c r="H850"/>
      <c r="I850"/>
      <c r="J850"/>
      <c r="K850"/>
      <c r="L850"/>
      <c r="M850"/>
      <c r="N850"/>
      <c r="O850"/>
      <c r="P850"/>
      <c r="Q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row>
    <row r="851" spans="4:78" x14ac:dyDescent="0.25">
      <c r="D851"/>
      <c r="E851"/>
      <c r="F851"/>
      <c r="G851"/>
      <c r="H851"/>
      <c r="I851"/>
      <c r="J851"/>
      <c r="K851"/>
      <c r="L851"/>
      <c r="M851"/>
      <c r="N851"/>
      <c r="O851"/>
      <c r="P851"/>
      <c r="Q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row>
    <row r="852" spans="4:78" x14ac:dyDescent="0.25">
      <c r="D852"/>
      <c r="E852"/>
      <c r="F852"/>
      <c r="G852"/>
      <c r="H852"/>
      <c r="I852"/>
      <c r="J852"/>
      <c r="K852"/>
      <c r="L852"/>
      <c r="M852"/>
      <c r="N852"/>
      <c r="O852"/>
      <c r="P852"/>
      <c r="Q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row>
    <row r="853" spans="4:78" x14ac:dyDescent="0.25">
      <c r="D853"/>
      <c r="E853"/>
      <c r="F853"/>
      <c r="G853"/>
      <c r="H853"/>
      <c r="I853"/>
      <c r="J853"/>
      <c r="K853"/>
      <c r="L853"/>
      <c r="M853"/>
      <c r="N853"/>
      <c r="O853"/>
      <c r="P853"/>
      <c r="Q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row>
    <row r="854" spans="4:78" x14ac:dyDescent="0.25">
      <c r="D854"/>
      <c r="E854"/>
      <c r="F854"/>
      <c r="G854"/>
      <c r="H854"/>
      <c r="I854"/>
      <c r="J854"/>
      <c r="K854"/>
      <c r="L854"/>
      <c r="M854"/>
      <c r="N854"/>
      <c r="O854"/>
      <c r="P854"/>
      <c r="Q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row>
    <row r="855" spans="4:78" x14ac:dyDescent="0.25">
      <c r="D855"/>
      <c r="E855"/>
      <c r="F855"/>
      <c r="G855"/>
      <c r="H855"/>
      <c r="I855"/>
      <c r="J855"/>
      <c r="K855"/>
      <c r="L855"/>
      <c r="M855"/>
      <c r="N855"/>
      <c r="O855"/>
      <c r="P855"/>
      <c r="Q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row>
    <row r="856" spans="4:78" x14ac:dyDescent="0.25">
      <c r="D856"/>
      <c r="E856"/>
      <c r="F856"/>
      <c r="G856"/>
      <c r="H856"/>
      <c r="I856"/>
      <c r="J856"/>
      <c r="K856"/>
      <c r="L856"/>
      <c r="M856"/>
      <c r="N856"/>
      <c r="O856"/>
      <c r="P856"/>
      <c r="Q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row>
    <row r="857" spans="4:78" x14ac:dyDescent="0.25">
      <c r="D857"/>
      <c r="E857"/>
      <c r="F857"/>
      <c r="G857"/>
      <c r="H857"/>
      <c r="I857"/>
      <c r="J857"/>
      <c r="K857"/>
      <c r="L857"/>
      <c r="M857"/>
      <c r="N857"/>
      <c r="O857"/>
      <c r="P857"/>
      <c r="Q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row>
    <row r="858" spans="4:78" x14ac:dyDescent="0.25">
      <c r="D858"/>
      <c r="E858"/>
      <c r="F858"/>
      <c r="G858"/>
      <c r="H858"/>
      <c r="I858"/>
      <c r="J858"/>
      <c r="K858"/>
      <c r="L858"/>
      <c r="M858"/>
      <c r="N858"/>
      <c r="O858"/>
      <c r="P858"/>
      <c r="Q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row>
    <row r="859" spans="4:78" x14ac:dyDescent="0.25">
      <c r="D859"/>
      <c r="E859"/>
      <c r="F859"/>
      <c r="G859"/>
      <c r="H859"/>
      <c r="I859"/>
      <c r="J859"/>
      <c r="K859"/>
      <c r="L859"/>
      <c r="M859"/>
      <c r="N859"/>
      <c r="O859"/>
      <c r="P859"/>
      <c r="Q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row>
    <row r="860" spans="4:78" x14ac:dyDescent="0.25">
      <c r="D860"/>
      <c r="E860"/>
      <c r="F860"/>
      <c r="G860"/>
      <c r="H860"/>
      <c r="I860"/>
      <c r="J860"/>
      <c r="K860"/>
      <c r="L860"/>
      <c r="M860"/>
      <c r="N860"/>
      <c r="O860"/>
      <c r="P860"/>
      <c r="Q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row>
    <row r="861" spans="4:78" x14ac:dyDescent="0.25">
      <c r="D861"/>
      <c r="E861"/>
      <c r="F861"/>
      <c r="G861"/>
      <c r="H861"/>
      <c r="I861"/>
      <c r="J861"/>
      <c r="K861"/>
      <c r="L861"/>
      <c r="M861"/>
      <c r="N861"/>
      <c r="O861"/>
      <c r="P861"/>
      <c r="Q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row>
    <row r="862" spans="4:78" x14ac:dyDescent="0.25">
      <c r="D862"/>
      <c r="E862"/>
      <c r="F862"/>
      <c r="G862"/>
      <c r="H862"/>
      <c r="I862"/>
      <c r="J862"/>
      <c r="K862"/>
      <c r="L862"/>
      <c r="M862"/>
      <c r="N862"/>
      <c r="O862"/>
      <c r="P862"/>
      <c r="Q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row>
    <row r="863" spans="4:78" x14ac:dyDescent="0.25">
      <c r="D863"/>
      <c r="E863"/>
      <c r="F863"/>
      <c r="G863"/>
      <c r="H863"/>
      <c r="I863"/>
      <c r="J863"/>
      <c r="K863"/>
      <c r="L863"/>
      <c r="M863"/>
      <c r="N863"/>
      <c r="O863"/>
      <c r="P863"/>
      <c r="Q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row>
    <row r="864" spans="4:78" x14ac:dyDescent="0.25">
      <c r="D864"/>
      <c r="E864"/>
      <c r="F864"/>
      <c r="G864"/>
      <c r="H864"/>
      <c r="I864"/>
      <c r="J864"/>
      <c r="K864"/>
      <c r="L864"/>
      <c r="M864"/>
      <c r="N864"/>
      <c r="O864"/>
      <c r="P864"/>
      <c r="Q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row>
    <row r="865" spans="4:78" x14ac:dyDescent="0.25">
      <c r="D865"/>
      <c r="E865"/>
      <c r="F865"/>
      <c r="G865"/>
      <c r="H865"/>
      <c r="I865"/>
      <c r="J865"/>
      <c r="K865"/>
      <c r="L865"/>
      <c r="M865"/>
      <c r="N865"/>
      <c r="O865"/>
      <c r="P865"/>
      <c r="Q865"/>
      <c r="R865"/>
      <c r="S865"/>
      <c r="T865"/>
      <c r="U865"/>
      <c r="V865"/>
      <c r="W865"/>
      <c r="X865"/>
      <c r="Y865"/>
      <c r="Z865"/>
      <c r="AA865"/>
      <c r="AB865"/>
      <c r="AC865"/>
      <c r="AD865"/>
      <c r="AE865"/>
      <c r="AF865"/>
      <c r="AG865"/>
      <c r="AH865"/>
      <c r="AI865"/>
      <c r="AJ865"/>
      <c r="AK865"/>
      <c r="AL865"/>
      <c r="AM865"/>
      <c r="AN865"/>
      <c r="AO865"/>
      <c r="AP865"/>
      <c r="AQ865"/>
      <c r="AR865"/>
      <c r="AS865"/>
      <c r="AT865"/>
      <c r="AU865"/>
      <c r="AV865"/>
      <c r="AW865"/>
      <c r="AX865"/>
      <c r="AY865"/>
      <c r="AZ865"/>
      <c r="BA865"/>
      <c r="BB865"/>
      <c r="BC865"/>
      <c r="BD865"/>
      <c r="BE865"/>
      <c r="BF865"/>
      <c r="BG865"/>
      <c r="BH865"/>
      <c r="BI865"/>
      <c r="BJ865"/>
      <c r="BK865"/>
      <c r="BL865"/>
      <c r="BM865"/>
      <c r="BN865"/>
      <c r="BO865"/>
      <c r="BP865"/>
      <c r="BQ865"/>
      <c r="BR865"/>
      <c r="BS865"/>
      <c r="BT865"/>
      <c r="BU865"/>
      <c r="BV865"/>
      <c r="BW865"/>
      <c r="BX865"/>
      <c r="BY865"/>
      <c r="BZ865"/>
    </row>
    <row r="866" spans="4:78" x14ac:dyDescent="0.25">
      <c r="D866"/>
      <c r="E866"/>
      <c r="F866"/>
      <c r="G866"/>
      <c r="H866"/>
      <c r="I866"/>
      <c r="J866"/>
      <c r="K866"/>
      <c r="L866"/>
      <c r="M866"/>
      <c r="N866"/>
      <c r="O866"/>
      <c r="P866"/>
      <c r="Q866"/>
      <c r="R866"/>
      <c r="S866"/>
      <c r="T866"/>
      <c r="U866"/>
      <c r="V866"/>
      <c r="W866"/>
      <c r="X866"/>
      <c r="Y866"/>
      <c r="Z866"/>
      <c r="AA866"/>
      <c r="AB866"/>
      <c r="AC866"/>
      <c r="AD866"/>
      <c r="AE866"/>
      <c r="AF866"/>
      <c r="AG866"/>
      <c r="AH866"/>
      <c r="AI866"/>
      <c r="AJ866"/>
      <c r="AK866"/>
      <c r="AL866"/>
      <c r="AM866"/>
      <c r="AN866"/>
      <c r="AO866"/>
      <c r="AP866"/>
      <c r="AQ866"/>
      <c r="AR866"/>
      <c r="AS866"/>
      <c r="AT866"/>
      <c r="AU866"/>
      <c r="AV866"/>
      <c r="AW866"/>
      <c r="AX866"/>
      <c r="AY866"/>
      <c r="AZ866"/>
      <c r="BA866"/>
      <c r="BB866"/>
      <c r="BC866"/>
      <c r="BD866"/>
      <c r="BE866"/>
      <c r="BF866"/>
      <c r="BG866"/>
      <c r="BH866"/>
      <c r="BI866"/>
      <c r="BJ866"/>
      <c r="BK866"/>
      <c r="BL866"/>
      <c r="BM866"/>
      <c r="BN866"/>
      <c r="BO866"/>
      <c r="BP866"/>
      <c r="BQ866"/>
      <c r="BR866"/>
      <c r="BS866"/>
      <c r="BT866"/>
      <c r="BU866"/>
      <c r="BV866"/>
      <c r="BW866"/>
      <c r="BX866"/>
      <c r="BY866"/>
      <c r="BZ866"/>
    </row>
    <row r="867" spans="4:78" x14ac:dyDescent="0.25">
      <c r="D867"/>
      <c r="E867"/>
      <c r="F867"/>
      <c r="G867"/>
      <c r="H867"/>
      <c r="I867"/>
      <c r="J867"/>
      <c r="K867"/>
      <c r="L867"/>
      <c r="M867"/>
      <c r="N867"/>
      <c r="O867"/>
      <c r="P867"/>
      <c r="Q867"/>
      <c r="R867"/>
      <c r="S867"/>
      <c r="T867"/>
      <c r="U867"/>
      <c r="V867"/>
      <c r="W867"/>
      <c r="X867"/>
      <c r="Y867"/>
      <c r="Z867"/>
      <c r="AA867"/>
      <c r="AB867"/>
      <c r="AC867"/>
      <c r="AD867"/>
      <c r="AE867"/>
      <c r="AF867"/>
      <c r="AG867"/>
      <c r="AH867"/>
      <c r="AI867"/>
      <c r="AJ867"/>
      <c r="AK867"/>
      <c r="AL867"/>
      <c r="AM867"/>
      <c r="AN867"/>
      <c r="AO867"/>
      <c r="AP867"/>
      <c r="AQ867"/>
      <c r="AR867"/>
      <c r="AS867"/>
      <c r="AT867"/>
      <c r="AU867"/>
      <c r="AV867"/>
      <c r="AW867"/>
      <c r="AX867"/>
      <c r="AY867"/>
      <c r="AZ867"/>
      <c r="BA867"/>
      <c r="BB867"/>
      <c r="BC867"/>
      <c r="BD867"/>
      <c r="BE867"/>
      <c r="BF867"/>
      <c r="BG867"/>
      <c r="BH867"/>
      <c r="BI867"/>
      <c r="BJ867"/>
      <c r="BK867"/>
      <c r="BL867"/>
      <c r="BM867"/>
      <c r="BN867"/>
      <c r="BO867"/>
      <c r="BP867"/>
      <c r="BQ867"/>
      <c r="BR867"/>
      <c r="BS867"/>
      <c r="BT867"/>
      <c r="BU867"/>
      <c r="BV867"/>
      <c r="BW867"/>
      <c r="BX867"/>
      <c r="BY867"/>
      <c r="BZ867"/>
    </row>
    <row r="868" spans="4:78" x14ac:dyDescent="0.25">
      <c r="D868"/>
      <c r="E868"/>
      <c r="F868"/>
      <c r="G868"/>
      <c r="H868"/>
      <c r="I868"/>
      <c r="J868"/>
      <c r="K868"/>
      <c r="L868"/>
      <c r="M868"/>
      <c r="N868"/>
      <c r="O868"/>
      <c r="P868"/>
      <c r="Q868"/>
      <c r="R868"/>
      <c r="S868"/>
      <c r="T868"/>
      <c r="U868"/>
      <c r="V868"/>
      <c r="W868"/>
      <c r="X868"/>
      <c r="Y868"/>
      <c r="Z868"/>
      <c r="AA868"/>
      <c r="AB868"/>
      <c r="AC868"/>
      <c r="AD868"/>
      <c r="AE868"/>
      <c r="AF868"/>
      <c r="AG868"/>
      <c r="AH868"/>
      <c r="AI868"/>
      <c r="AJ868"/>
      <c r="AK868"/>
      <c r="AL868"/>
      <c r="AM868"/>
      <c r="AN868"/>
      <c r="AO868"/>
      <c r="AP868"/>
      <c r="AQ868"/>
      <c r="AR868"/>
      <c r="AS868"/>
      <c r="AT868"/>
      <c r="AU868"/>
      <c r="AV868"/>
      <c r="AW868"/>
      <c r="AX868"/>
      <c r="AY868"/>
      <c r="AZ868"/>
      <c r="BA868"/>
      <c r="BB868"/>
      <c r="BC868"/>
      <c r="BD868"/>
      <c r="BE868"/>
      <c r="BF868"/>
      <c r="BG868"/>
      <c r="BH868"/>
      <c r="BI868"/>
      <c r="BJ868"/>
      <c r="BK868"/>
      <c r="BL868"/>
      <c r="BM868"/>
      <c r="BN868"/>
      <c r="BO868"/>
      <c r="BP868"/>
      <c r="BQ868"/>
      <c r="BR868"/>
      <c r="BS868"/>
      <c r="BT868"/>
      <c r="BU868"/>
      <c r="BV868"/>
      <c r="BW868"/>
      <c r="BX868"/>
      <c r="BY868"/>
      <c r="BZ868"/>
    </row>
    <row r="869" spans="4:78" x14ac:dyDescent="0.25">
      <c r="D869"/>
      <c r="E869"/>
      <c r="F869"/>
      <c r="G869"/>
      <c r="H869"/>
      <c r="I869"/>
      <c r="J869"/>
      <c r="K869"/>
      <c r="L869"/>
      <c r="M869"/>
      <c r="N869"/>
      <c r="O869"/>
      <c r="P869"/>
      <c r="Q869"/>
      <c r="R869"/>
      <c r="S869"/>
      <c r="T869"/>
      <c r="U869"/>
      <c r="V869"/>
      <c r="W869"/>
      <c r="X869"/>
      <c r="Y869"/>
      <c r="Z869"/>
      <c r="AA869"/>
      <c r="AB869"/>
      <c r="AC869"/>
      <c r="AD869"/>
      <c r="AE869"/>
      <c r="AF869"/>
      <c r="AG869"/>
      <c r="AH869"/>
      <c r="AI869"/>
      <c r="AJ869"/>
      <c r="AK869"/>
      <c r="AL869"/>
      <c r="AM869"/>
      <c r="AN869"/>
      <c r="AO869"/>
      <c r="AP869"/>
      <c r="AQ869"/>
      <c r="AR869"/>
      <c r="AS869"/>
      <c r="AT869"/>
      <c r="AU869"/>
      <c r="AV869"/>
      <c r="AW869"/>
      <c r="AX869"/>
      <c r="AY869"/>
      <c r="AZ869"/>
      <c r="BA869"/>
      <c r="BB869"/>
      <c r="BC869"/>
      <c r="BD869"/>
      <c r="BE869"/>
      <c r="BF869"/>
      <c r="BG869"/>
      <c r="BH869"/>
      <c r="BI869"/>
      <c r="BJ869"/>
      <c r="BK869"/>
      <c r="BL869"/>
      <c r="BM869"/>
      <c r="BN869"/>
      <c r="BO869"/>
      <c r="BP869"/>
      <c r="BQ869"/>
      <c r="BR869"/>
      <c r="BS869"/>
      <c r="BT869"/>
      <c r="BU869"/>
      <c r="BV869"/>
      <c r="BW869"/>
      <c r="BX869"/>
      <c r="BY869"/>
      <c r="BZ869"/>
    </row>
    <row r="870" spans="4:78" x14ac:dyDescent="0.25">
      <c r="D870"/>
      <c r="E870"/>
      <c r="F870"/>
      <c r="G870"/>
      <c r="H870"/>
      <c r="I870"/>
      <c r="J870"/>
      <c r="K870"/>
      <c r="L870"/>
      <c r="M870"/>
      <c r="N870"/>
      <c r="O870"/>
      <c r="P870"/>
      <c r="Q870"/>
      <c r="R870"/>
      <c r="S870"/>
      <c r="T870"/>
      <c r="U870"/>
      <c r="V870"/>
      <c r="W870"/>
      <c r="X870"/>
      <c r="Y870"/>
      <c r="Z870"/>
      <c r="AA870"/>
      <c r="AB870"/>
      <c r="AC870"/>
      <c r="AD870"/>
      <c r="AE870"/>
      <c r="AF870"/>
      <c r="AG870"/>
      <c r="AH870"/>
      <c r="AI870"/>
      <c r="AJ870"/>
      <c r="AK870"/>
      <c r="AL870"/>
      <c r="AM870"/>
      <c r="AN870"/>
      <c r="AO870"/>
      <c r="AP870"/>
      <c r="AQ870"/>
      <c r="AR870"/>
      <c r="AS870"/>
      <c r="AT870"/>
      <c r="AU870"/>
      <c r="AV870"/>
      <c r="AW870"/>
      <c r="AX870"/>
      <c r="AY870"/>
      <c r="AZ870"/>
      <c r="BA870"/>
      <c r="BB870"/>
      <c r="BC870"/>
      <c r="BD870"/>
      <c r="BE870"/>
      <c r="BF870"/>
      <c r="BG870"/>
      <c r="BH870"/>
      <c r="BI870"/>
      <c r="BJ870"/>
      <c r="BK870"/>
      <c r="BL870"/>
      <c r="BM870"/>
      <c r="BN870"/>
      <c r="BO870"/>
      <c r="BP870"/>
      <c r="BQ870"/>
      <c r="BR870"/>
      <c r="BS870"/>
      <c r="BT870"/>
      <c r="BU870"/>
      <c r="BV870"/>
      <c r="BW870"/>
      <c r="BX870"/>
      <c r="BY870"/>
      <c r="BZ870"/>
    </row>
    <row r="871" spans="4:78" x14ac:dyDescent="0.25">
      <c r="D871"/>
      <c r="E871"/>
      <c r="F871"/>
      <c r="G871"/>
      <c r="H871"/>
      <c r="I871"/>
      <c r="J871"/>
      <c r="K871"/>
      <c r="L871"/>
      <c r="M871"/>
      <c r="N871"/>
      <c r="O871"/>
      <c r="P871"/>
      <c r="Q871"/>
      <c r="R871"/>
      <c r="S871"/>
      <c r="T871"/>
      <c r="U871"/>
      <c r="V871"/>
      <c r="W871"/>
      <c r="X871"/>
      <c r="Y871"/>
      <c r="Z871"/>
      <c r="AA871"/>
      <c r="AB871"/>
      <c r="AC871"/>
      <c r="AD871"/>
      <c r="AE871"/>
      <c r="AF871"/>
      <c r="AG871"/>
      <c r="AH871"/>
      <c r="AI871"/>
      <c r="AJ871"/>
      <c r="AK871"/>
      <c r="AL871"/>
      <c r="AM871"/>
      <c r="AN871"/>
      <c r="AO871"/>
      <c r="AP871"/>
      <c r="AQ871"/>
      <c r="AR871"/>
      <c r="AS871"/>
      <c r="AT871"/>
      <c r="AU871"/>
      <c r="AV871"/>
      <c r="AW871"/>
      <c r="AX871"/>
      <c r="AY871"/>
      <c r="AZ871"/>
      <c r="BA871"/>
      <c r="BB871"/>
      <c r="BC871"/>
      <c r="BD871"/>
      <c r="BE871"/>
      <c r="BF871"/>
      <c r="BG871"/>
      <c r="BH871"/>
      <c r="BI871"/>
      <c r="BJ871"/>
      <c r="BK871"/>
      <c r="BL871"/>
      <c r="BM871"/>
      <c r="BN871"/>
      <c r="BO871"/>
      <c r="BP871"/>
      <c r="BQ871"/>
      <c r="BR871"/>
      <c r="BS871"/>
      <c r="BT871"/>
      <c r="BU871"/>
      <c r="BV871"/>
      <c r="BW871"/>
      <c r="BX871"/>
      <c r="BY871"/>
      <c r="BZ871"/>
    </row>
    <row r="872" spans="4:78" x14ac:dyDescent="0.25">
      <c r="D872"/>
      <c r="E872"/>
      <c r="F872"/>
      <c r="G872"/>
      <c r="H872"/>
      <c r="I872"/>
      <c r="J872"/>
      <c r="K872"/>
      <c r="L872"/>
      <c r="M872"/>
      <c r="N872"/>
      <c r="O872"/>
      <c r="P872"/>
      <c r="Q872"/>
      <c r="R872"/>
      <c r="S872"/>
      <c r="T872"/>
      <c r="U872"/>
      <c r="V872"/>
      <c r="W872"/>
      <c r="X872"/>
      <c r="Y872"/>
      <c r="Z872"/>
      <c r="AA872"/>
      <c r="AB872"/>
      <c r="AC872"/>
      <c r="AD872"/>
      <c r="AE872"/>
      <c r="AF872"/>
      <c r="AG872"/>
      <c r="AH872"/>
      <c r="AI872"/>
      <c r="AJ872"/>
      <c r="AK872"/>
      <c r="AL872"/>
      <c r="AM872"/>
      <c r="AN872"/>
      <c r="AO872"/>
      <c r="AP872"/>
      <c r="AQ872"/>
      <c r="AR872"/>
      <c r="AS872"/>
      <c r="AT872"/>
      <c r="AU872"/>
      <c r="AV872"/>
      <c r="AW872"/>
      <c r="AX872"/>
      <c r="AY872"/>
      <c r="AZ872"/>
      <c r="BA872"/>
      <c r="BB872"/>
      <c r="BC872"/>
      <c r="BD872"/>
      <c r="BE872"/>
      <c r="BF872"/>
      <c r="BG872"/>
      <c r="BH872"/>
      <c r="BI872"/>
      <c r="BJ872"/>
      <c r="BK872"/>
      <c r="BL872"/>
      <c r="BM872"/>
      <c r="BN872"/>
      <c r="BO872"/>
      <c r="BP872"/>
      <c r="BQ872"/>
      <c r="BR872"/>
      <c r="BS872"/>
      <c r="BT872"/>
      <c r="BU872"/>
      <c r="BV872"/>
      <c r="BW872"/>
      <c r="BX872"/>
      <c r="BY872"/>
      <c r="BZ872"/>
    </row>
    <row r="873" spans="4:78" x14ac:dyDescent="0.25">
      <c r="D873"/>
      <c r="E873"/>
      <c r="F873"/>
      <c r="G873"/>
      <c r="H873"/>
      <c r="I873"/>
      <c r="J873"/>
      <c r="K873"/>
      <c r="L873"/>
      <c r="M873"/>
      <c r="N873"/>
      <c r="O873"/>
      <c r="P873"/>
      <c r="Q873"/>
      <c r="R873"/>
      <c r="S873"/>
      <c r="T873"/>
      <c r="U873"/>
      <c r="V873"/>
      <c r="W873"/>
      <c r="X873"/>
      <c r="Y873"/>
      <c r="Z873"/>
      <c r="AA873"/>
      <c r="AB873"/>
      <c r="AC873"/>
      <c r="AD873"/>
      <c r="AE873"/>
      <c r="AF873"/>
      <c r="AG873"/>
      <c r="AH873"/>
      <c r="AI873"/>
      <c r="AJ873"/>
      <c r="AK873"/>
      <c r="AL873"/>
      <c r="AM873"/>
      <c r="AN873"/>
      <c r="AO873"/>
      <c r="AP873"/>
      <c r="AQ873"/>
      <c r="AR873"/>
      <c r="AS873"/>
      <c r="AT873"/>
      <c r="AU873"/>
      <c r="AV873"/>
      <c r="AW873"/>
      <c r="AX873"/>
      <c r="AY873"/>
      <c r="AZ873"/>
      <c r="BA873"/>
      <c r="BB873"/>
      <c r="BC873"/>
      <c r="BD873"/>
      <c r="BE873"/>
      <c r="BF873"/>
      <c r="BG873"/>
      <c r="BH873"/>
      <c r="BI873"/>
      <c r="BJ873"/>
      <c r="BK873"/>
      <c r="BL873"/>
      <c r="BM873"/>
      <c r="BN873"/>
      <c r="BO873"/>
      <c r="BP873"/>
      <c r="BQ873"/>
      <c r="BR873"/>
      <c r="BS873"/>
      <c r="BT873"/>
      <c r="BU873"/>
      <c r="BV873"/>
      <c r="BW873"/>
      <c r="BX873"/>
      <c r="BY873"/>
      <c r="BZ873"/>
    </row>
    <row r="874" spans="4:78" x14ac:dyDescent="0.25">
      <c r="D874"/>
      <c r="E874"/>
      <c r="F874"/>
      <c r="G874"/>
      <c r="H874"/>
      <c r="I874"/>
      <c r="J874"/>
      <c r="K874"/>
      <c r="L874"/>
      <c r="M874"/>
      <c r="N874"/>
      <c r="O874"/>
      <c r="P874"/>
      <c r="Q874"/>
      <c r="R874"/>
      <c r="S874"/>
      <c r="T874"/>
      <c r="U874"/>
      <c r="V874"/>
      <c r="W874"/>
      <c r="X874"/>
      <c r="Y874"/>
      <c r="Z874"/>
      <c r="AA874"/>
      <c r="AB874"/>
      <c r="AC874"/>
      <c r="AD874"/>
      <c r="AE874"/>
      <c r="AF874"/>
      <c r="AG874"/>
      <c r="AH874"/>
      <c r="AI874"/>
      <c r="AJ874"/>
      <c r="AK874"/>
      <c r="AL874"/>
      <c r="AM874"/>
      <c r="AN874"/>
      <c r="AO874"/>
      <c r="AP874"/>
      <c r="AQ874"/>
      <c r="AR874"/>
      <c r="AS874"/>
      <c r="AT874"/>
      <c r="AU874"/>
      <c r="AV874"/>
      <c r="AW874"/>
      <c r="AX874"/>
      <c r="AY874"/>
      <c r="AZ874"/>
      <c r="BA874"/>
      <c r="BB874"/>
      <c r="BC874"/>
      <c r="BD874"/>
      <c r="BE874"/>
      <c r="BF874"/>
      <c r="BG874"/>
      <c r="BH874"/>
      <c r="BI874"/>
      <c r="BJ874"/>
      <c r="BK874"/>
      <c r="BL874"/>
      <c r="BM874"/>
      <c r="BN874"/>
      <c r="BO874"/>
      <c r="BP874"/>
      <c r="BQ874"/>
      <c r="BR874"/>
      <c r="BS874"/>
      <c r="BT874"/>
      <c r="BU874"/>
      <c r="BV874"/>
      <c r="BW874"/>
      <c r="BX874"/>
      <c r="BY874"/>
      <c r="BZ874"/>
    </row>
    <row r="875" spans="4:78" x14ac:dyDescent="0.25">
      <c r="D875"/>
      <c r="E875"/>
      <c r="F875"/>
      <c r="G875"/>
      <c r="H875"/>
      <c r="I875"/>
      <c r="J875"/>
      <c r="K875"/>
      <c r="L875"/>
      <c r="M875"/>
      <c r="N875"/>
      <c r="O875"/>
      <c r="P875"/>
      <c r="Q875"/>
      <c r="R875"/>
      <c r="S875"/>
      <c r="T875"/>
      <c r="U875"/>
      <c r="V875"/>
      <c r="W875"/>
      <c r="X875"/>
      <c r="Y875"/>
      <c r="Z875"/>
      <c r="AA875"/>
      <c r="AB875"/>
      <c r="AC875"/>
      <c r="AD875"/>
      <c r="AE875"/>
      <c r="AF875"/>
      <c r="AG875"/>
      <c r="AH875"/>
      <c r="AI875"/>
      <c r="AJ875"/>
      <c r="AK875"/>
      <c r="AL875"/>
      <c r="AM875"/>
      <c r="AN875"/>
      <c r="AO875"/>
      <c r="AP875"/>
      <c r="AQ875"/>
      <c r="AR875"/>
      <c r="AS875"/>
      <c r="AT875"/>
      <c r="AU875"/>
      <c r="AV875"/>
      <c r="AW875"/>
      <c r="AX875"/>
      <c r="AY875"/>
      <c r="AZ875"/>
      <c r="BA875"/>
      <c r="BB875"/>
      <c r="BC875"/>
      <c r="BD875"/>
      <c r="BE875"/>
      <c r="BF875"/>
      <c r="BG875"/>
      <c r="BH875"/>
      <c r="BI875"/>
      <c r="BJ875"/>
      <c r="BK875"/>
      <c r="BL875"/>
      <c r="BM875"/>
      <c r="BN875"/>
      <c r="BO875"/>
      <c r="BP875"/>
      <c r="BQ875"/>
      <c r="BR875"/>
      <c r="BS875"/>
      <c r="BT875"/>
      <c r="BU875"/>
      <c r="BV875"/>
      <c r="BW875"/>
      <c r="BX875"/>
      <c r="BY875"/>
      <c r="BZ875"/>
    </row>
    <row r="876" spans="4:78" x14ac:dyDescent="0.25">
      <c r="D876"/>
      <c r="E876"/>
      <c r="F876"/>
      <c r="G876"/>
      <c r="H876"/>
      <c r="I876"/>
      <c r="J876"/>
      <c r="K876"/>
      <c r="L876"/>
      <c r="M876"/>
      <c r="N876"/>
      <c r="O876"/>
      <c r="P876"/>
      <c r="Q876"/>
      <c r="R876"/>
      <c r="S876"/>
      <c r="T876"/>
      <c r="U876"/>
      <c r="V876"/>
      <c r="W876"/>
      <c r="X876"/>
      <c r="Y876"/>
      <c r="Z876"/>
      <c r="AA876"/>
      <c r="AB876"/>
      <c r="AC876"/>
      <c r="AD876"/>
      <c r="AE876"/>
      <c r="AF876"/>
      <c r="AG876"/>
      <c r="AH876"/>
      <c r="AI876"/>
      <c r="AJ876"/>
      <c r="AK876"/>
      <c r="AL876"/>
      <c r="AM876"/>
      <c r="AN876"/>
      <c r="AO876"/>
      <c r="AP876"/>
      <c r="AQ876"/>
      <c r="AR876"/>
      <c r="AS876"/>
      <c r="AT876"/>
      <c r="AU876"/>
      <c r="AV876"/>
      <c r="AW876"/>
      <c r="AX876"/>
      <c r="AY876"/>
      <c r="AZ876"/>
      <c r="BA876"/>
      <c r="BB876"/>
      <c r="BC876"/>
      <c r="BD876"/>
      <c r="BE876"/>
      <c r="BF876"/>
      <c r="BG876"/>
      <c r="BH876"/>
      <c r="BI876"/>
      <c r="BJ876"/>
      <c r="BK876"/>
      <c r="BL876"/>
      <c r="BM876"/>
      <c r="BN876"/>
      <c r="BO876"/>
      <c r="BP876"/>
      <c r="BQ876"/>
      <c r="BR876"/>
      <c r="BS876"/>
      <c r="BT876"/>
      <c r="BU876"/>
      <c r="BV876"/>
      <c r="BW876"/>
      <c r="BX876"/>
      <c r="BY876"/>
      <c r="BZ876"/>
    </row>
    <row r="877" spans="4:78" x14ac:dyDescent="0.25">
      <c r="D877"/>
      <c r="E877"/>
      <c r="F877"/>
      <c r="G877"/>
      <c r="H877"/>
      <c r="I877"/>
      <c r="J877"/>
      <c r="K877"/>
      <c r="L877"/>
      <c r="M877"/>
      <c r="N877"/>
      <c r="O877"/>
      <c r="P877"/>
      <c r="Q877"/>
      <c r="R877"/>
      <c r="S877"/>
      <c r="T877"/>
      <c r="U877"/>
      <c r="V877"/>
      <c r="W877"/>
      <c r="X877"/>
      <c r="Y877"/>
      <c r="Z877"/>
      <c r="AA877"/>
      <c r="AB877"/>
      <c r="AC877"/>
      <c r="AD877"/>
      <c r="AE877"/>
      <c r="AF877"/>
      <c r="AG877"/>
      <c r="AH877"/>
      <c r="AI877"/>
      <c r="AJ877"/>
      <c r="AK877"/>
      <c r="AL877"/>
      <c r="AM877"/>
      <c r="AN877"/>
      <c r="AO877"/>
      <c r="AP877"/>
      <c r="AQ877"/>
      <c r="AR877"/>
      <c r="AS877"/>
      <c r="AT877"/>
      <c r="AU877"/>
      <c r="AV877"/>
      <c r="AW877"/>
      <c r="AX877"/>
      <c r="AY877"/>
      <c r="AZ877"/>
      <c r="BA877"/>
      <c r="BB877"/>
      <c r="BC877"/>
      <c r="BD877"/>
      <c r="BE877"/>
      <c r="BF877"/>
      <c r="BG877"/>
      <c r="BH877"/>
      <c r="BI877"/>
      <c r="BJ877"/>
      <c r="BK877"/>
      <c r="BL877"/>
      <c r="BM877"/>
      <c r="BN877"/>
      <c r="BO877"/>
      <c r="BP877"/>
      <c r="BQ877"/>
      <c r="BR877"/>
      <c r="BS877"/>
      <c r="BT877"/>
      <c r="BU877"/>
      <c r="BV877"/>
      <c r="BW877"/>
      <c r="BX877"/>
      <c r="BY877"/>
      <c r="BZ877"/>
    </row>
    <row r="878" spans="4:78" x14ac:dyDescent="0.25">
      <c r="D878"/>
      <c r="E878"/>
      <c r="F878"/>
      <c r="G878"/>
      <c r="H878"/>
      <c r="I878"/>
      <c r="J878"/>
      <c r="K878"/>
      <c r="L878"/>
      <c r="M878"/>
      <c r="N878"/>
      <c r="O878"/>
      <c r="P878"/>
      <c r="Q878"/>
      <c r="R878"/>
      <c r="S878"/>
      <c r="T878"/>
      <c r="U878"/>
      <c r="V878"/>
      <c r="W878"/>
      <c r="X878"/>
      <c r="Y878"/>
      <c r="Z878"/>
      <c r="AA878"/>
      <c r="AB878"/>
      <c r="AC878"/>
      <c r="AD878"/>
      <c r="AE878"/>
      <c r="AF878"/>
      <c r="AG878"/>
      <c r="AH878"/>
      <c r="AI878"/>
      <c r="AJ878"/>
      <c r="AK878"/>
      <c r="AL878"/>
      <c r="AM878"/>
      <c r="AN878"/>
      <c r="AO878"/>
      <c r="AP878"/>
      <c r="AQ878"/>
      <c r="AR878"/>
      <c r="AS878"/>
      <c r="AT878"/>
      <c r="AU878"/>
      <c r="AV878"/>
      <c r="AW878"/>
      <c r="AX878"/>
      <c r="AY878"/>
      <c r="AZ878"/>
      <c r="BA878"/>
      <c r="BB878"/>
      <c r="BC878"/>
      <c r="BD878"/>
      <c r="BE878"/>
      <c r="BF878"/>
      <c r="BG878"/>
      <c r="BH878"/>
      <c r="BI878"/>
      <c r="BJ878"/>
      <c r="BK878"/>
      <c r="BL878"/>
      <c r="BM878"/>
      <c r="BN878"/>
      <c r="BO878"/>
      <c r="BP878"/>
      <c r="BQ878"/>
      <c r="BR878"/>
      <c r="BS878"/>
      <c r="BT878"/>
      <c r="BU878"/>
      <c r="BV878"/>
      <c r="BW878"/>
      <c r="BX878"/>
      <c r="BY878"/>
      <c r="BZ878"/>
    </row>
    <row r="879" spans="4:78" x14ac:dyDescent="0.25">
      <c r="D879"/>
      <c r="E879"/>
      <c r="F879"/>
      <c r="G879"/>
      <c r="H879"/>
      <c r="I879"/>
      <c r="J879"/>
      <c r="K879"/>
      <c r="L879"/>
      <c r="M879"/>
      <c r="N879"/>
      <c r="O879"/>
      <c r="P879"/>
      <c r="Q879"/>
      <c r="R879"/>
      <c r="S879"/>
      <c r="T879"/>
      <c r="U879"/>
      <c r="V879"/>
      <c r="W879"/>
      <c r="X879"/>
      <c r="Y879"/>
      <c r="Z879"/>
      <c r="AA879"/>
      <c r="AB879"/>
      <c r="AC879"/>
      <c r="AD879"/>
      <c r="AE879"/>
      <c r="AF879"/>
      <c r="AG879"/>
      <c r="AH879"/>
      <c r="AI879"/>
      <c r="AJ879"/>
      <c r="AK879"/>
      <c r="AL879"/>
      <c r="AM879"/>
      <c r="AN879"/>
      <c r="AO879"/>
      <c r="AP879"/>
      <c r="AQ879"/>
      <c r="AR879"/>
      <c r="AS879"/>
      <c r="AT879"/>
      <c r="AU879"/>
      <c r="AV879"/>
      <c r="AW879"/>
      <c r="AX879"/>
      <c r="AY879"/>
      <c r="AZ879"/>
      <c r="BA879"/>
      <c r="BB879"/>
      <c r="BC879"/>
      <c r="BD879"/>
      <c r="BE879"/>
      <c r="BF879"/>
      <c r="BG879"/>
      <c r="BH879"/>
      <c r="BI879"/>
      <c r="BJ879"/>
      <c r="BK879"/>
      <c r="BL879"/>
      <c r="BM879"/>
      <c r="BN879"/>
      <c r="BO879"/>
      <c r="BP879"/>
      <c r="BQ879"/>
      <c r="BR879"/>
      <c r="BS879"/>
      <c r="BT879"/>
      <c r="BU879"/>
      <c r="BV879"/>
      <c r="BW879"/>
      <c r="BX879"/>
      <c r="BY879"/>
      <c r="BZ879"/>
    </row>
    <row r="880" spans="4:78" x14ac:dyDescent="0.25">
      <c r="D880"/>
      <c r="E880"/>
      <c r="F880"/>
      <c r="G880"/>
      <c r="H880"/>
      <c r="I880"/>
      <c r="J880"/>
      <c r="K880"/>
      <c r="L880"/>
      <c r="M880"/>
      <c r="N880"/>
      <c r="O880"/>
      <c r="P880"/>
      <c r="Q880"/>
      <c r="R880"/>
      <c r="S880"/>
      <c r="T880"/>
      <c r="U880"/>
      <c r="V880"/>
      <c r="W880"/>
      <c r="X880"/>
      <c r="Y880"/>
      <c r="Z880"/>
      <c r="AA880"/>
      <c r="AB880"/>
      <c r="AC880"/>
      <c r="AD880"/>
      <c r="AE880"/>
      <c r="AF880"/>
      <c r="AG880"/>
      <c r="AH880"/>
      <c r="AI880"/>
      <c r="AJ880"/>
      <c r="AK880"/>
      <c r="AL880"/>
      <c r="AM880"/>
      <c r="AN880"/>
      <c r="AO880"/>
      <c r="AP880"/>
      <c r="AQ880"/>
      <c r="AR880"/>
      <c r="AS880"/>
      <c r="AT880"/>
      <c r="AU880"/>
      <c r="AV880"/>
      <c r="AW880"/>
      <c r="AX880"/>
      <c r="AY880"/>
      <c r="AZ880"/>
      <c r="BA880"/>
      <c r="BB880"/>
      <c r="BC880"/>
      <c r="BD880"/>
      <c r="BE880"/>
      <c r="BF880"/>
      <c r="BG880"/>
      <c r="BH880"/>
      <c r="BI880"/>
      <c r="BJ880"/>
      <c r="BK880"/>
      <c r="BL880"/>
      <c r="BM880"/>
      <c r="BN880"/>
      <c r="BO880"/>
      <c r="BP880"/>
      <c r="BQ880"/>
      <c r="BR880"/>
      <c r="BS880"/>
      <c r="BT880"/>
      <c r="BU880"/>
      <c r="BV880"/>
      <c r="BW880"/>
      <c r="BX880"/>
      <c r="BY880"/>
      <c r="BZ880"/>
    </row>
    <row r="881" spans="4:78" x14ac:dyDescent="0.25">
      <c r="D881"/>
      <c r="E881"/>
      <c r="F881"/>
      <c r="G881"/>
      <c r="H881"/>
      <c r="I881"/>
      <c r="J881"/>
      <c r="K881"/>
      <c r="L881"/>
      <c r="M881"/>
      <c r="N881"/>
      <c r="O881"/>
      <c r="P881"/>
      <c r="Q881"/>
      <c r="R881"/>
      <c r="S881"/>
      <c r="T881"/>
      <c r="U881"/>
      <c r="V881"/>
      <c r="W881"/>
      <c r="X881"/>
      <c r="Y881"/>
      <c r="Z881"/>
      <c r="AA881"/>
      <c r="AB881"/>
      <c r="AC881"/>
      <c r="AD881"/>
      <c r="AE881"/>
      <c r="AF881"/>
      <c r="AG881"/>
      <c r="AH881"/>
      <c r="AI881"/>
      <c r="AJ881"/>
      <c r="AK881"/>
      <c r="AL881"/>
      <c r="AM881"/>
      <c r="AN881"/>
      <c r="AO881"/>
      <c r="AP881"/>
      <c r="AQ881"/>
      <c r="AR881"/>
      <c r="AS881"/>
      <c r="AT881"/>
      <c r="AU881"/>
      <c r="AV881"/>
      <c r="AW881"/>
      <c r="AX881"/>
      <c r="AY881"/>
      <c r="AZ881"/>
      <c r="BA881"/>
      <c r="BB881"/>
      <c r="BC881"/>
      <c r="BD881"/>
      <c r="BE881"/>
      <c r="BF881"/>
      <c r="BG881"/>
      <c r="BH881"/>
      <c r="BI881"/>
      <c r="BJ881"/>
      <c r="BK881"/>
      <c r="BL881"/>
      <c r="BM881"/>
      <c r="BN881"/>
      <c r="BO881"/>
      <c r="BP881"/>
      <c r="BQ881"/>
      <c r="BR881"/>
      <c r="BS881"/>
      <c r="BT881"/>
      <c r="BU881"/>
      <c r="BV881"/>
      <c r="BW881"/>
      <c r="BX881"/>
      <c r="BY881"/>
      <c r="BZ881"/>
    </row>
    <row r="882" spans="4:78" x14ac:dyDescent="0.25">
      <c r="D882"/>
      <c r="E882"/>
      <c r="F882"/>
      <c r="G882"/>
      <c r="H882"/>
      <c r="I882"/>
      <c r="J882"/>
      <c r="K882"/>
      <c r="L882"/>
      <c r="M882"/>
      <c r="N882"/>
      <c r="O882"/>
      <c r="P882"/>
      <c r="Q882"/>
      <c r="R882"/>
      <c r="S882"/>
      <c r="T882"/>
      <c r="U882"/>
      <c r="V882"/>
      <c r="W882"/>
      <c r="X882"/>
      <c r="Y882"/>
      <c r="Z882"/>
      <c r="AA882"/>
      <c r="AB882"/>
      <c r="AC882"/>
      <c r="AD882"/>
      <c r="AE882"/>
      <c r="AF882"/>
      <c r="AG882"/>
      <c r="AH882"/>
      <c r="AI882"/>
      <c r="AJ882"/>
      <c r="AK882"/>
      <c r="AL882"/>
      <c r="AM882"/>
      <c r="AN882"/>
      <c r="AO882"/>
      <c r="AP882"/>
      <c r="AQ882"/>
      <c r="AR882"/>
      <c r="AS882"/>
      <c r="AT882"/>
      <c r="AU882"/>
      <c r="AV882"/>
      <c r="AW882"/>
      <c r="AX882"/>
      <c r="AY882"/>
      <c r="AZ882"/>
      <c r="BA882"/>
      <c r="BB882"/>
      <c r="BC882"/>
      <c r="BD882"/>
      <c r="BE882"/>
      <c r="BF882"/>
      <c r="BG882"/>
      <c r="BH882"/>
      <c r="BI882"/>
      <c r="BJ882"/>
      <c r="BK882"/>
      <c r="BL882"/>
      <c r="BM882"/>
      <c r="BN882"/>
      <c r="BO882"/>
      <c r="BP882"/>
      <c r="BQ882"/>
      <c r="BR882"/>
      <c r="BS882"/>
      <c r="BT882"/>
      <c r="BU882"/>
      <c r="BV882"/>
      <c r="BW882"/>
      <c r="BX882"/>
      <c r="BY882"/>
      <c r="BZ882"/>
    </row>
    <row r="883" spans="4:78" x14ac:dyDescent="0.25">
      <c r="D883"/>
      <c r="E883"/>
      <c r="F883"/>
      <c r="G883"/>
      <c r="H883"/>
      <c r="I883"/>
      <c r="J883"/>
      <c r="K883"/>
      <c r="L883"/>
      <c r="M883"/>
      <c r="N883"/>
      <c r="O883"/>
      <c r="P883"/>
      <c r="Q883"/>
      <c r="R883"/>
      <c r="S883"/>
      <c r="T883"/>
      <c r="U883"/>
      <c r="V883"/>
      <c r="W883"/>
      <c r="X883"/>
      <c r="Y883"/>
      <c r="Z883"/>
      <c r="AA883"/>
      <c r="AB883"/>
      <c r="AC883"/>
      <c r="AD883"/>
      <c r="AE883"/>
      <c r="AF883"/>
      <c r="AG883"/>
      <c r="AH883"/>
      <c r="AI883"/>
      <c r="AJ883"/>
      <c r="AK883"/>
      <c r="AL883"/>
      <c r="AM883"/>
      <c r="AN883"/>
      <c r="AO883"/>
      <c r="AP883"/>
      <c r="AQ883"/>
      <c r="AR883"/>
      <c r="AS883"/>
      <c r="AT883"/>
      <c r="AU883"/>
      <c r="AV883"/>
      <c r="AW883"/>
      <c r="AX883"/>
      <c r="AY883"/>
      <c r="AZ883"/>
      <c r="BA883"/>
      <c r="BB883"/>
      <c r="BC883"/>
      <c r="BD883"/>
      <c r="BE883"/>
      <c r="BF883"/>
      <c r="BG883"/>
      <c r="BH883"/>
      <c r="BI883"/>
      <c r="BJ883"/>
      <c r="BK883"/>
      <c r="BL883"/>
      <c r="BM883"/>
      <c r="BN883"/>
      <c r="BO883"/>
      <c r="BP883"/>
      <c r="BQ883"/>
      <c r="BR883"/>
      <c r="BS883"/>
      <c r="BT883"/>
      <c r="BU883"/>
      <c r="BV883"/>
      <c r="BW883"/>
      <c r="BX883"/>
      <c r="BY883"/>
      <c r="BZ883"/>
    </row>
    <row r="884" spans="4:78" x14ac:dyDescent="0.25">
      <c r="D884"/>
      <c r="E884"/>
      <c r="F884"/>
      <c r="G884"/>
      <c r="H884"/>
      <c r="I884"/>
      <c r="J884"/>
      <c r="K884"/>
      <c r="L884"/>
      <c r="M884"/>
      <c r="N884"/>
      <c r="O884"/>
      <c r="P884"/>
      <c r="Q884"/>
      <c r="R884"/>
      <c r="S884"/>
      <c r="T884"/>
      <c r="U884"/>
      <c r="V884"/>
      <c r="W884"/>
      <c r="X884"/>
      <c r="Y884"/>
      <c r="Z884"/>
      <c r="AA884"/>
      <c r="AB884"/>
      <c r="AC884"/>
      <c r="AD884"/>
      <c r="AE884"/>
      <c r="AF884"/>
      <c r="AG884"/>
      <c r="AH884"/>
      <c r="AI884"/>
      <c r="AJ884"/>
      <c r="AK884"/>
      <c r="AL884"/>
      <c r="AM884"/>
      <c r="AN884"/>
      <c r="AO884"/>
      <c r="AP884"/>
      <c r="AQ884"/>
      <c r="AR884"/>
      <c r="AS884"/>
      <c r="AT884"/>
      <c r="AU884"/>
      <c r="AV884"/>
      <c r="AW884"/>
      <c r="AX884"/>
      <c r="AY884"/>
      <c r="AZ884"/>
      <c r="BA884"/>
      <c r="BB884"/>
      <c r="BC884"/>
      <c r="BD884"/>
      <c r="BE884"/>
      <c r="BF884"/>
      <c r="BG884"/>
      <c r="BH884"/>
      <c r="BI884"/>
      <c r="BJ884"/>
      <c r="BK884"/>
      <c r="BL884"/>
      <c r="BM884"/>
      <c r="BN884"/>
      <c r="BO884"/>
      <c r="BP884"/>
      <c r="BQ884"/>
      <c r="BR884"/>
      <c r="BS884"/>
      <c r="BT884"/>
      <c r="BU884"/>
      <c r="BV884"/>
      <c r="BW884"/>
      <c r="BX884"/>
      <c r="BY884"/>
      <c r="BZ884"/>
    </row>
    <row r="885" spans="4:78" x14ac:dyDescent="0.25">
      <c r="D885"/>
      <c r="E885"/>
      <c r="F885"/>
      <c r="G885"/>
      <c r="H885"/>
      <c r="I885"/>
      <c r="J885"/>
      <c r="K885"/>
      <c r="L885"/>
      <c r="M885"/>
      <c r="N885"/>
      <c r="O885"/>
      <c r="P885"/>
      <c r="Q885"/>
      <c r="R885"/>
      <c r="S885"/>
      <c r="T885"/>
      <c r="U885"/>
      <c r="V885"/>
      <c r="W885"/>
      <c r="X885"/>
      <c r="Y885"/>
      <c r="Z885"/>
      <c r="AA885"/>
      <c r="AB885"/>
      <c r="AC885"/>
      <c r="AD885"/>
      <c r="AE885"/>
      <c r="AF885"/>
      <c r="AG885"/>
      <c r="AH885"/>
      <c r="AI885"/>
      <c r="AJ885"/>
      <c r="AK885"/>
      <c r="AL885"/>
      <c r="AM885"/>
      <c r="AN885"/>
      <c r="AO885"/>
      <c r="AP885"/>
      <c r="AQ885"/>
      <c r="AR885"/>
      <c r="AS885"/>
      <c r="AT885"/>
      <c r="AU885"/>
      <c r="AV885"/>
      <c r="AW885"/>
      <c r="AX885"/>
      <c r="AY885"/>
      <c r="AZ885"/>
      <c r="BA885"/>
      <c r="BB885"/>
      <c r="BC885"/>
      <c r="BD885"/>
      <c r="BE885"/>
      <c r="BF885"/>
      <c r="BG885"/>
      <c r="BH885"/>
      <c r="BI885"/>
      <c r="BJ885"/>
      <c r="BK885"/>
      <c r="BL885"/>
      <c r="BM885"/>
      <c r="BN885"/>
      <c r="BO885"/>
      <c r="BP885"/>
      <c r="BQ885"/>
      <c r="BR885"/>
      <c r="BS885"/>
      <c r="BT885"/>
      <c r="BU885"/>
      <c r="BV885"/>
      <c r="BW885"/>
      <c r="BX885"/>
      <c r="BY885"/>
      <c r="BZ885"/>
    </row>
    <row r="886" spans="4:78" x14ac:dyDescent="0.25">
      <c r="D886"/>
      <c r="E886"/>
      <c r="F886"/>
      <c r="G886"/>
      <c r="H886"/>
      <c r="I886"/>
      <c r="J886"/>
      <c r="K886"/>
      <c r="L886"/>
      <c r="M886"/>
      <c r="N886"/>
      <c r="O886"/>
      <c r="P886"/>
      <c r="Q886"/>
      <c r="R886"/>
      <c r="S886"/>
      <c r="T886"/>
      <c r="U886"/>
      <c r="V886"/>
      <c r="W886"/>
      <c r="X886"/>
      <c r="Y886"/>
      <c r="Z886"/>
      <c r="AA886"/>
      <c r="AB886"/>
      <c r="AC886"/>
      <c r="AD886"/>
      <c r="AE886"/>
      <c r="AF886"/>
      <c r="AG886"/>
      <c r="AH886"/>
      <c r="AI886"/>
      <c r="AJ886"/>
      <c r="AK886"/>
      <c r="AL886"/>
      <c r="AM886"/>
      <c r="AN886"/>
      <c r="AO886"/>
      <c r="AP886"/>
      <c r="AQ886"/>
      <c r="AR886"/>
      <c r="AS886"/>
      <c r="AT886"/>
      <c r="AU886"/>
      <c r="AV886"/>
      <c r="AW886"/>
      <c r="AX886"/>
      <c r="AY886"/>
      <c r="AZ886"/>
      <c r="BA886"/>
      <c r="BB886"/>
      <c r="BC886"/>
      <c r="BD886"/>
      <c r="BE886"/>
      <c r="BF886"/>
      <c r="BG886"/>
      <c r="BH886"/>
      <c r="BI886"/>
      <c r="BJ886"/>
      <c r="BK886"/>
      <c r="BL886"/>
      <c r="BM886"/>
      <c r="BN886"/>
      <c r="BO886"/>
      <c r="BP886"/>
      <c r="BQ886"/>
      <c r="BR886"/>
      <c r="BS886"/>
      <c r="BT886"/>
      <c r="BU886"/>
      <c r="BV886"/>
      <c r="BW886"/>
      <c r="BX886"/>
      <c r="BY886"/>
      <c r="BZ886"/>
    </row>
    <row r="887" spans="4:78" x14ac:dyDescent="0.25">
      <c r="D887"/>
      <c r="E887"/>
      <c r="F887"/>
      <c r="G887"/>
      <c r="H887"/>
      <c r="I887"/>
      <c r="J887"/>
      <c r="K887"/>
      <c r="L887"/>
      <c r="M887"/>
      <c r="N887"/>
      <c r="O887"/>
      <c r="P887"/>
      <c r="Q887"/>
      <c r="R887"/>
      <c r="S887"/>
      <c r="T887"/>
      <c r="U887"/>
      <c r="V887"/>
      <c r="W887"/>
      <c r="X887"/>
      <c r="Y887"/>
      <c r="Z887"/>
      <c r="AA887"/>
      <c r="AB887"/>
      <c r="AC887"/>
      <c r="AD887"/>
      <c r="AE887"/>
      <c r="AF887"/>
      <c r="AG887"/>
      <c r="AH887"/>
      <c r="AI887"/>
      <c r="AJ887"/>
      <c r="AK887"/>
      <c r="AL887"/>
      <c r="AM887"/>
      <c r="AN887"/>
      <c r="AO887"/>
      <c r="AP887"/>
      <c r="AQ887"/>
      <c r="AR887"/>
      <c r="AS887"/>
      <c r="AT887"/>
      <c r="AU887"/>
      <c r="AV887"/>
      <c r="AW887"/>
      <c r="AX887"/>
      <c r="AY887"/>
      <c r="AZ887"/>
      <c r="BA887"/>
      <c r="BB887"/>
      <c r="BC887"/>
      <c r="BD887"/>
      <c r="BE887"/>
      <c r="BF887"/>
      <c r="BG887"/>
      <c r="BH887"/>
      <c r="BI887"/>
      <c r="BJ887"/>
      <c r="BK887"/>
      <c r="BL887"/>
      <c r="BM887"/>
      <c r="BN887"/>
      <c r="BO887"/>
      <c r="BP887"/>
      <c r="BQ887"/>
      <c r="BR887"/>
      <c r="BS887"/>
      <c r="BT887"/>
      <c r="BU887"/>
      <c r="BV887"/>
      <c r="BW887"/>
      <c r="BX887"/>
      <c r="BY887"/>
      <c r="BZ887"/>
    </row>
    <row r="888" spans="4:78" x14ac:dyDescent="0.25">
      <c r="D888"/>
      <c r="E888"/>
      <c r="F888"/>
      <c r="G888"/>
      <c r="H888"/>
      <c r="I888"/>
      <c r="J888"/>
      <c r="K888"/>
      <c r="L888"/>
      <c r="M888"/>
      <c r="N888"/>
      <c r="O888"/>
      <c r="P888"/>
      <c r="Q888"/>
      <c r="R888"/>
      <c r="S888"/>
      <c r="T888"/>
      <c r="U888"/>
      <c r="V888"/>
      <c r="W888"/>
      <c r="X888"/>
      <c r="Y888"/>
      <c r="Z888"/>
      <c r="AA888"/>
      <c r="AB888"/>
      <c r="AC888"/>
      <c r="AD888"/>
      <c r="AE888"/>
      <c r="AF888"/>
      <c r="AG888"/>
      <c r="AH888"/>
      <c r="AI888"/>
      <c r="AJ888"/>
      <c r="AK888"/>
      <c r="AL888"/>
      <c r="AM888"/>
      <c r="AN888"/>
      <c r="AO888"/>
      <c r="AP888"/>
      <c r="AQ888"/>
      <c r="AR888"/>
      <c r="AS888"/>
      <c r="AT888"/>
      <c r="AU888"/>
      <c r="AV888"/>
      <c r="AW888"/>
      <c r="AX888"/>
      <c r="AY888"/>
      <c r="AZ888"/>
      <c r="BA888"/>
      <c r="BB888"/>
      <c r="BC888"/>
      <c r="BD888"/>
      <c r="BE888"/>
      <c r="BF888"/>
      <c r="BG888"/>
      <c r="BH888"/>
      <c r="BI888"/>
      <c r="BJ888"/>
      <c r="BK888"/>
      <c r="BL888"/>
      <c r="BM888"/>
      <c r="BN888"/>
      <c r="BO888"/>
      <c r="BP888"/>
      <c r="BQ888"/>
      <c r="BR888"/>
      <c r="BS888"/>
      <c r="BT888"/>
      <c r="BU888"/>
      <c r="BV888"/>
      <c r="BW888"/>
      <c r="BX888"/>
      <c r="BY888"/>
      <c r="BZ888"/>
    </row>
    <row r="889" spans="4:78" x14ac:dyDescent="0.25">
      <c r="D889"/>
      <c r="E889"/>
      <c r="F889"/>
      <c r="G889"/>
      <c r="H889"/>
      <c r="I889"/>
      <c r="J889"/>
      <c r="K889"/>
      <c r="L889"/>
      <c r="M889"/>
      <c r="N889"/>
      <c r="O889"/>
      <c r="P889"/>
      <c r="Q889"/>
      <c r="R889"/>
      <c r="S889"/>
      <c r="T889"/>
      <c r="U889"/>
      <c r="V889"/>
      <c r="W889"/>
      <c r="X889"/>
      <c r="Y889"/>
      <c r="Z889"/>
      <c r="AA889"/>
      <c r="AB889"/>
      <c r="AC889"/>
      <c r="AD889"/>
      <c r="AE889"/>
      <c r="AF889"/>
      <c r="AG889"/>
      <c r="AH889"/>
      <c r="AI889"/>
      <c r="AJ889"/>
      <c r="AK889"/>
      <c r="AL889"/>
      <c r="AM889"/>
      <c r="AN889"/>
      <c r="AO889"/>
      <c r="AP889"/>
      <c r="AQ889"/>
      <c r="AR889"/>
      <c r="AS889"/>
      <c r="AT889"/>
      <c r="AU889"/>
      <c r="AV889"/>
      <c r="AW889"/>
      <c r="AX889"/>
      <c r="AY889"/>
      <c r="AZ889"/>
      <c r="BA889"/>
      <c r="BB889"/>
      <c r="BC889"/>
      <c r="BD889"/>
      <c r="BE889"/>
      <c r="BF889"/>
      <c r="BG889"/>
      <c r="BH889"/>
      <c r="BI889"/>
      <c r="BJ889"/>
      <c r="BK889"/>
      <c r="BL889"/>
      <c r="BM889"/>
      <c r="BN889"/>
      <c r="BO889"/>
      <c r="BP889"/>
      <c r="BQ889"/>
      <c r="BR889"/>
      <c r="BS889"/>
      <c r="BT889"/>
      <c r="BU889"/>
      <c r="BV889"/>
      <c r="BW889"/>
      <c r="BX889"/>
      <c r="BY889"/>
      <c r="BZ889"/>
    </row>
    <row r="890" spans="4:78" x14ac:dyDescent="0.25">
      <c r="D890"/>
      <c r="E890"/>
      <c r="F890"/>
      <c r="G890"/>
      <c r="H890"/>
      <c r="I890"/>
      <c r="J890"/>
      <c r="K890"/>
      <c r="L890"/>
      <c r="M890"/>
      <c r="N890"/>
      <c r="O890"/>
      <c r="P890"/>
      <c r="Q890"/>
      <c r="R890"/>
      <c r="S890"/>
      <c r="T890"/>
      <c r="U890"/>
      <c r="V890"/>
      <c r="W890"/>
      <c r="X890"/>
      <c r="Y890"/>
      <c r="Z890"/>
      <c r="AA890"/>
      <c r="AB890"/>
      <c r="AC890"/>
      <c r="AD890"/>
      <c r="AE890"/>
      <c r="AF890"/>
      <c r="AG890"/>
      <c r="AH890"/>
      <c r="AI890"/>
      <c r="AJ890"/>
      <c r="AK890"/>
      <c r="AL890"/>
      <c r="AM890"/>
      <c r="AN890"/>
      <c r="AO890"/>
      <c r="AP890"/>
      <c r="AQ890"/>
      <c r="AR890"/>
      <c r="AS890"/>
      <c r="AT890"/>
      <c r="AU890"/>
      <c r="AV890"/>
      <c r="AW890"/>
      <c r="AX890"/>
      <c r="AY890"/>
      <c r="AZ890"/>
      <c r="BA890"/>
      <c r="BB890"/>
      <c r="BC890"/>
      <c r="BD890"/>
      <c r="BE890"/>
      <c r="BF890"/>
      <c r="BG890"/>
      <c r="BH890"/>
      <c r="BI890"/>
      <c r="BJ890"/>
      <c r="BK890"/>
      <c r="BL890"/>
      <c r="BM890"/>
      <c r="BN890"/>
      <c r="BO890"/>
      <c r="BP890"/>
      <c r="BQ890"/>
      <c r="BR890"/>
      <c r="BS890"/>
      <c r="BT890"/>
      <c r="BU890"/>
      <c r="BV890"/>
      <c r="BW890"/>
      <c r="BX890"/>
      <c r="BY890"/>
      <c r="BZ890"/>
    </row>
    <row r="891" spans="4:78" x14ac:dyDescent="0.25">
      <c r="D891"/>
      <c r="E891"/>
      <c r="F891"/>
      <c r="G891"/>
      <c r="H891"/>
      <c r="I891"/>
      <c r="J891"/>
      <c r="K891"/>
      <c r="L891"/>
      <c r="M891"/>
      <c r="N891"/>
      <c r="O891"/>
      <c r="P891"/>
      <c r="Q891"/>
      <c r="R891"/>
      <c r="S891"/>
      <c r="T891"/>
      <c r="U891"/>
      <c r="V891"/>
      <c r="W891"/>
      <c r="X891"/>
      <c r="Y891"/>
      <c r="Z891"/>
      <c r="AA891"/>
      <c r="AB891"/>
      <c r="AC891"/>
      <c r="AD891"/>
      <c r="AE891"/>
      <c r="AF891"/>
      <c r="AG891"/>
      <c r="AH891"/>
      <c r="AI891"/>
      <c r="AJ891"/>
      <c r="AK891"/>
      <c r="AL891"/>
      <c r="AM891"/>
      <c r="AN891"/>
      <c r="AO891"/>
      <c r="AP891"/>
      <c r="AQ891"/>
      <c r="AR891"/>
      <c r="AS891"/>
      <c r="AT891"/>
      <c r="AU891"/>
      <c r="AV891"/>
      <c r="AW891"/>
      <c r="AX891"/>
      <c r="AY891"/>
      <c r="AZ891"/>
      <c r="BA891"/>
      <c r="BB891"/>
      <c r="BC891"/>
      <c r="BD891"/>
      <c r="BE891"/>
      <c r="BF891"/>
      <c r="BG891"/>
      <c r="BH891"/>
      <c r="BI891"/>
      <c r="BJ891"/>
      <c r="BK891"/>
      <c r="BL891"/>
      <c r="BM891"/>
      <c r="BN891"/>
      <c r="BO891"/>
      <c r="BP891"/>
      <c r="BQ891"/>
      <c r="BR891"/>
      <c r="BS891"/>
      <c r="BT891"/>
      <c r="BU891"/>
      <c r="BV891"/>
      <c r="BW891"/>
      <c r="BX891"/>
      <c r="BY891"/>
      <c r="BZ891"/>
    </row>
    <row r="892" spans="4:78" x14ac:dyDescent="0.25">
      <c r="D892"/>
      <c r="E892"/>
      <c r="F892"/>
      <c r="G892"/>
      <c r="H892"/>
      <c r="I892"/>
      <c r="J892"/>
      <c r="K892"/>
      <c r="L892"/>
      <c r="M892"/>
      <c r="N892"/>
      <c r="O892"/>
      <c r="P892"/>
      <c r="Q892"/>
      <c r="R892"/>
      <c r="S892"/>
      <c r="T892"/>
      <c r="U892"/>
      <c r="V892"/>
      <c r="W892"/>
      <c r="X892"/>
      <c r="Y892"/>
      <c r="Z892"/>
      <c r="AA892"/>
      <c r="AB892"/>
      <c r="AC892"/>
      <c r="AD892"/>
      <c r="AE892"/>
      <c r="AF892"/>
      <c r="AG892"/>
      <c r="AH892"/>
      <c r="AI892"/>
      <c r="AJ892"/>
      <c r="AK892"/>
      <c r="AL892"/>
      <c r="AM892"/>
      <c r="AN892"/>
      <c r="AO892"/>
      <c r="AP892"/>
      <c r="AQ892"/>
      <c r="AR892"/>
      <c r="AS892"/>
      <c r="AT892"/>
      <c r="AU892"/>
      <c r="AV892"/>
      <c r="AW892"/>
      <c r="AX892"/>
      <c r="AY892"/>
      <c r="AZ892"/>
      <c r="BA892"/>
      <c r="BB892"/>
      <c r="BC892"/>
      <c r="BD892"/>
      <c r="BE892"/>
      <c r="BF892"/>
      <c r="BG892"/>
      <c r="BH892"/>
      <c r="BI892"/>
      <c r="BJ892"/>
      <c r="BK892"/>
      <c r="BL892"/>
      <c r="BM892"/>
      <c r="BN892"/>
      <c r="BO892"/>
      <c r="BP892"/>
      <c r="BQ892"/>
      <c r="BR892"/>
      <c r="BS892"/>
      <c r="BT892"/>
      <c r="BU892"/>
      <c r="BV892"/>
      <c r="BW892"/>
      <c r="BX892"/>
      <c r="BY892"/>
      <c r="BZ892"/>
    </row>
    <row r="893" spans="4:78" x14ac:dyDescent="0.25">
      <c r="D893"/>
      <c r="E893"/>
      <c r="F893"/>
      <c r="G893"/>
      <c r="H893"/>
      <c r="I893"/>
      <c r="J893"/>
      <c r="K893"/>
      <c r="L893"/>
      <c r="M893"/>
      <c r="N893"/>
      <c r="O893"/>
      <c r="P893"/>
      <c r="Q893"/>
      <c r="R893"/>
      <c r="S893"/>
      <c r="T893"/>
      <c r="U893"/>
      <c r="V893"/>
      <c r="W893"/>
      <c r="X893"/>
      <c r="Y893"/>
      <c r="Z893"/>
      <c r="AA893"/>
      <c r="AB893"/>
      <c r="AC893"/>
      <c r="AD893"/>
      <c r="AE893"/>
      <c r="AF893"/>
      <c r="AG893"/>
      <c r="AH893"/>
      <c r="AI893"/>
      <c r="AJ893"/>
      <c r="AK893"/>
      <c r="AL893"/>
      <c r="AM893"/>
      <c r="AN893"/>
      <c r="AO893"/>
      <c r="AP893"/>
      <c r="AQ893"/>
      <c r="AR893"/>
      <c r="AS893"/>
      <c r="AT893"/>
      <c r="AU893"/>
      <c r="AV893"/>
      <c r="AW893"/>
      <c r="AX893"/>
      <c r="AY893"/>
      <c r="AZ893"/>
      <c r="BA893"/>
      <c r="BB893"/>
      <c r="BC893"/>
      <c r="BD893"/>
      <c r="BE893"/>
      <c r="BF893"/>
      <c r="BG893"/>
      <c r="BH893"/>
      <c r="BI893"/>
      <c r="BJ893"/>
      <c r="BK893"/>
      <c r="BL893"/>
      <c r="BM893"/>
      <c r="BN893"/>
      <c r="BO893"/>
      <c r="BP893"/>
      <c r="BQ893"/>
      <c r="BR893"/>
      <c r="BS893"/>
      <c r="BT893"/>
      <c r="BU893"/>
      <c r="BV893"/>
      <c r="BW893"/>
      <c r="BX893"/>
      <c r="BY893"/>
      <c r="BZ893"/>
    </row>
    <row r="894" spans="4:78" x14ac:dyDescent="0.25">
      <c r="D894"/>
      <c r="E894"/>
      <c r="F894"/>
      <c r="G894"/>
      <c r="H894"/>
      <c r="I894"/>
      <c r="J894"/>
      <c r="K894"/>
      <c r="L894"/>
      <c r="M894"/>
      <c r="N894"/>
      <c r="O894"/>
      <c r="P894"/>
      <c r="Q894"/>
      <c r="R894"/>
      <c r="S894"/>
      <c r="T894"/>
      <c r="U894"/>
      <c r="V894"/>
      <c r="W894"/>
      <c r="X894"/>
      <c r="Y894"/>
      <c r="Z894"/>
      <c r="AA894"/>
      <c r="AB894"/>
      <c r="AC894"/>
      <c r="AD894"/>
      <c r="AE894"/>
      <c r="AF894"/>
      <c r="AG894"/>
      <c r="AH894"/>
      <c r="AI894"/>
      <c r="AJ894"/>
      <c r="AK894"/>
      <c r="AL894"/>
      <c r="AM894"/>
      <c r="AN894"/>
      <c r="AO894"/>
      <c r="AP894"/>
      <c r="AQ894"/>
      <c r="AR894"/>
      <c r="AS894"/>
      <c r="AT894"/>
      <c r="AU894"/>
      <c r="AV894"/>
      <c r="AW894"/>
      <c r="AX894"/>
      <c r="AY894"/>
      <c r="AZ894"/>
      <c r="BA894"/>
      <c r="BB894"/>
      <c r="BC894"/>
      <c r="BD894"/>
      <c r="BE894"/>
      <c r="BF894"/>
      <c r="BG894"/>
      <c r="BH894"/>
      <c r="BI894"/>
      <c r="BJ894"/>
      <c r="BK894"/>
      <c r="BL894"/>
      <c r="BM894"/>
      <c r="BN894"/>
      <c r="BO894"/>
      <c r="BP894"/>
      <c r="BQ894"/>
      <c r="BR894"/>
      <c r="BS894"/>
      <c r="BT894"/>
      <c r="BU894"/>
      <c r="BV894"/>
      <c r="BW894"/>
      <c r="BX894"/>
      <c r="BY894"/>
      <c r="BZ894"/>
    </row>
    <row r="895" spans="4:78" x14ac:dyDescent="0.25">
      <c r="D895"/>
      <c r="E895"/>
      <c r="F895"/>
      <c r="G895"/>
      <c r="H895"/>
      <c r="I895"/>
      <c r="J895"/>
      <c r="K895"/>
      <c r="L895"/>
      <c r="M895"/>
      <c r="N895"/>
      <c r="O895"/>
      <c r="P895"/>
      <c r="Q895"/>
      <c r="R895"/>
      <c r="S895"/>
      <c r="T895"/>
      <c r="U895"/>
      <c r="V895"/>
      <c r="W895"/>
      <c r="X895"/>
      <c r="Y895"/>
      <c r="Z895"/>
      <c r="AA895"/>
      <c r="AB895"/>
      <c r="AC895"/>
      <c r="AD895"/>
      <c r="AE895"/>
      <c r="AF895"/>
      <c r="AG895"/>
      <c r="AH895"/>
      <c r="AI895"/>
      <c r="AJ895"/>
      <c r="AK895"/>
      <c r="AL895"/>
      <c r="AM895"/>
      <c r="AN895"/>
      <c r="AO895"/>
      <c r="AP895"/>
      <c r="AQ895"/>
      <c r="AR895"/>
      <c r="AS895"/>
      <c r="AT895"/>
      <c r="AU895"/>
      <c r="AV895"/>
      <c r="AW895"/>
      <c r="AX895"/>
      <c r="AY895"/>
      <c r="AZ895"/>
      <c r="BA895"/>
      <c r="BB895"/>
      <c r="BC895"/>
      <c r="BD895"/>
      <c r="BE895"/>
      <c r="BF895"/>
      <c r="BG895"/>
      <c r="BH895"/>
      <c r="BI895"/>
      <c r="BJ895"/>
      <c r="BK895"/>
      <c r="BL895"/>
      <c r="BM895"/>
      <c r="BN895"/>
      <c r="BO895"/>
      <c r="BP895"/>
      <c r="BQ895"/>
      <c r="BR895"/>
      <c r="BS895"/>
      <c r="BT895"/>
      <c r="BU895"/>
      <c r="BV895"/>
      <c r="BW895"/>
      <c r="BX895"/>
      <c r="BY895"/>
      <c r="BZ895"/>
    </row>
    <row r="896" spans="4:78" x14ac:dyDescent="0.25">
      <c r="D896"/>
      <c r="E896"/>
      <c r="F896"/>
      <c r="G896"/>
      <c r="H896"/>
      <c r="I896"/>
      <c r="J896"/>
      <c r="K896"/>
      <c r="L896"/>
      <c r="M896"/>
      <c r="N896"/>
      <c r="O896"/>
      <c r="P896"/>
      <c r="Q896"/>
      <c r="R896"/>
      <c r="S896"/>
      <c r="T896"/>
      <c r="U896"/>
      <c r="V896"/>
      <c r="W896"/>
      <c r="X896"/>
      <c r="Y896"/>
      <c r="Z896"/>
      <c r="AA896"/>
      <c r="AB896"/>
      <c r="AC896"/>
      <c r="AD896"/>
      <c r="AE896"/>
      <c r="AF896"/>
      <c r="AG896"/>
      <c r="AH896"/>
      <c r="AI896"/>
      <c r="AJ896"/>
      <c r="AK896"/>
      <c r="AL896"/>
      <c r="AM896"/>
      <c r="AN896"/>
      <c r="AO896"/>
      <c r="AP896"/>
      <c r="AQ896"/>
      <c r="AR896"/>
      <c r="AS896"/>
      <c r="AT896"/>
      <c r="AU896"/>
      <c r="AV896"/>
      <c r="AW896"/>
      <c r="AX896"/>
      <c r="AY896"/>
      <c r="AZ896"/>
      <c r="BA896"/>
      <c r="BB896"/>
      <c r="BC896"/>
      <c r="BD896"/>
      <c r="BE896"/>
      <c r="BF896"/>
      <c r="BG896"/>
      <c r="BH896"/>
      <c r="BI896"/>
      <c r="BJ896"/>
      <c r="BK896"/>
      <c r="BL896"/>
      <c r="BM896"/>
      <c r="BN896"/>
      <c r="BO896"/>
      <c r="BP896"/>
      <c r="BQ896"/>
      <c r="BR896"/>
      <c r="BS896"/>
      <c r="BT896"/>
      <c r="BU896"/>
      <c r="BV896"/>
      <c r="BW896"/>
      <c r="BX896"/>
      <c r="BY896"/>
      <c r="BZ896"/>
    </row>
    <row r="897" spans="4:78" x14ac:dyDescent="0.25">
      <c r="D897"/>
      <c r="E897"/>
      <c r="F897"/>
      <c r="G897"/>
      <c r="H897"/>
      <c r="I897"/>
      <c r="J897"/>
      <c r="K897"/>
      <c r="L897"/>
      <c r="M897"/>
      <c r="N897"/>
      <c r="O897"/>
      <c r="P897"/>
      <c r="Q897"/>
      <c r="R897"/>
      <c r="S897"/>
      <c r="T897"/>
      <c r="U897"/>
      <c r="V897"/>
      <c r="W897"/>
      <c r="X897"/>
      <c r="Y897"/>
      <c r="Z897"/>
      <c r="AA897"/>
      <c r="AB897"/>
      <c r="AC897"/>
      <c r="AD897"/>
      <c r="AE897"/>
      <c r="AF897"/>
      <c r="AG897"/>
      <c r="AH897"/>
      <c r="AI897"/>
      <c r="AJ897"/>
      <c r="AK897"/>
      <c r="AL897"/>
      <c r="AM897"/>
      <c r="AN897"/>
      <c r="AO897"/>
      <c r="AP897"/>
      <c r="AQ897"/>
      <c r="AR897"/>
      <c r="AS897"/>
      <c r="AT897"/>
      <c r="AU897"/>
      <c r="AV897"/>
      <c r="AW897"/>
      <c r="AX897"/>
      <c r="AY897"/>
      <c r="AZ897"/>
      <c r="BA897"/>
      <c r="BB897"/>
      <c r="BC897"/>
      <c r="BD897"/>
      <c r="BE897"/>
      <c r="BF897"/>
      <c r="BG897"/>
      <c r="BH897"/>
      <c r="BI897"/>
      <c r="BJ897"/>
      <c r="BK897"/>
      <c r="BL897"/>
      <c r="BM897"/>
      <c r="BN897"/>
      <c r="BO897"/>
      <c r="BP897"/>
      <c r="BQ897"/>
      <c r="BR897"/>
      <c r="BS897"/>
      <c r="BT897"/>
      <c r="BU897"/>
      <c r="BV897"/>
      <c r="BW897"/>
      <c r="BX897"/>
      <c r="BY897"/>
      <c r="BZ897"/>
    </row>
    <row r="898" spans="4:78" x14ac:dyDescent="0.25">
      <c r="D898"/>
      <c r="E898"/>
      <c r="F898"/>
      <c r="G898"/>
      <c r="H898"/>
      <c r="I898"/>
      <c r="J898"/>
      <c r="K898"/>
      <c r="L898"/>
      <c r="M898"/>
      <c r="N898"/>
      <c r="O898"/>
      <c r="P898"/>
      <c r="Q898"/>
      <c r="R898"/>
      <c r="S898"/>
      <c r="T898"/>
      <c r="U898"/>
      <c r="V898"/>
      <c r="W898"/>
      <c r="X898"/>
      <c r="Y898"/>
      <c r="Z898"/>
      <c r="AA898"/>
      <c r="AB898"/>
      <c r="AC898"/>
      <c r="AD898"/>
      <c r="AE898"/>
      <c r="AF898"/>
      <c r="AG898"/>
      <c r="AH898"/>
      <c r="AI898"/>
      <c r="AJ898"/>
      <c r="AK898"/>
      <c r="AL898"/>
      <c r="AM898"/>
      <c r="AN898"/>
      <c r="AO898"/>
      <c r="AP898"/>
      <c r="AQ898"/>
      <c r="AR898"/>
      <c r="AS898"/>
      <c r="AT898"/>
      <c r="AU898"/>
      <c r="AV898"/>
      <c r="AW898"/>
      <c r="AX898"/>
      <c r="AY898"/>
      <c r="AZ898"/>
      <c r="BA898"/>
      <c r="BB898"/>
      <c r="BC898"/>
      <c r="BD898"/>
      <c r="BE898"/>
      <c r="BF898"/>
      <c r="BG898"/>
      <c r="BH898"/>
      <c r="BI898"/>
      <c r="BJ898"/>
      <c r="BK898"/>
      <c r="BL898"/>
      <c r="BM898"/>
      <c r="BN898"/>
      <c r="BO898"/>
      <c r="BP898"/>
      <c r="BQ898"/>
      <c r="BR898"/>
      <c r="BS898"/>
      <c r="BT898"/>
      <c r="BU898"/>
      <c r="BV898"/>
      <c r="BW898"/>
      <c r="BX898"/>
      <c r="BY898"/>
      <c r="BZ898"/>
    </row>
    <row r="899" spans="4:78" x14ac:dyDescent="0.25">
      <c r="D899"/>
      <c r="E899"/>
      <c r="F899"/>
      <c r="G899"/>
      <c r="H899"/>
      <c r="I899"/>
      <c r="J899"/>
      <c r="K899"/>
      <c r="L899"/>
      <c r="M899"/>
      <c r="N899"/>
      <c r="O899"/>
      <c r="P899"/>
      <c r="Q899"/>
      <c r="R899"/>
      <c r="S899"/>
      <c r="T899"/>
      <c r="U899"/>
      <c r="V899"/>
      <c r="W899"/>
      <c r="X899"/>
      <c r="Y899"/>
      <c r="Z899"/>
      <c r="AA899"/>
      <c r="AB899"/>
      <c r="AC899"/>
      <c r="AD899"/>
      <c r="AE899"/>
      <c r="AF899"/>
      <c r="AG899"/>
      <c r="AH899"/>
      <c r="AI899"/>
      <c r="AJ899"/>
      <c r="AK899"/>
      <c r="AL899"/>
      <c r="AM899"/>
      <c r="AN899"/>
      <c r="AO899"/>
      <c r="AP899"/>
      <c r="AQ899"/>
      <c r="AR899"/>
      <c r="AS899"/>
      <c r="AT899"/>
      <c r="AU899"/>
      <c r="AV899"/>
      <c r="AW899"/>
      <c r="AX899"/>
      <c r="AY899"/>
      <c r="AZ899"/>
      <c r="BA899"/>
      <c r="BB899"/>
      <c r="BC899"/>
      <c r="BD899"/>
      <c r="BE899"/>
      <c r="BF899"/>
      <c r="BG899"/>
      <c r="BH899"/>
      <c r="BI899"/>
      <c r="BJ899"/>
      <c r="BK899"/>
      <c r="BL899"/>
      <c r="BM899"/>
      <c r="BN899"/>
      <c r="BO899"/>
      <c r="BP899"/>
      <c r="BQ899"/>
      <c r="BR899"/>
      <c r="BS899"/>
      <c r="BT899"/>
      <c r="BU899"/>
      <c r="BV899"/>
      <c r="BW899"/>
      <c r="BX899"/>
      <c r="BY899"/>
      <c r="BZ899"/>
    </row>
    <row r="900" spans="4:78" x14ac:dyDescent="0.25">
      <c r="D900"/>
      <c r="E900"/>
      <c r="F900"/>
      <c r="G900"/>
      <c r="H900"/>
      <c r="I900"/>
      <c r="J900"/>
      <c r="K900"/>
      <c r="L900"/>
      <c r="M900"/>
      <c r="N900"/>
      <c r="O900"/>
      <c r="P900"/>
      <c r="Q900"/>
      <c r="R900"/>
      <c r="S900"/>
      <c r="T900"/>
      <c r="U900"/>
      <c r="V900"/>
      <c r="W900"/>
      <c r="X900"/>
      <c r="Y900"/>
      <c r="Z900"/>
      <c r="AA900"/>
      <c r="AB900"/>
      <c r="AC900"/>
      <c r="AD900"/>
      <c r="AE900"/>
      <c r="AF900"/>
      <c r="AG900"/>
      <c r="AH900"/>
      <c r="AI900"/>
      <c r="AJ900"/>
      <c r="AK900"/>
      <c r="AL900"/>
      <c r="AM900"/>
      <c r="AN900"/>
      <c r="AO900"/>
      <c r="AP900"/>
      <c r="AQ900"/>
      <c r="AR900"/>
      <c r="AS900"/>
      <c r="AT900"/>
      <c r="AU900"/>
      <c r="AV900"/>
      <c r="AW900"/>
      <c r="AX900"/>
      <c r="AY900"/>
      <c r="AZ900"/>
      <c r="BA900"/>
      <c r="BB900"/>
      <c r="BC900"/>
      <c r="BD900"/>
      <c r="BE900"/>
      <c r="BF900"/>
      <c r="BG900"/>
      <c r="BH900"/>
      <c r="BI900"/>
      <c r="BJ900"/>
      <c r="BK900"/>
      <c r="BL900"/>
      <c r="BM900"/>
      <c r="BN900"/>
      <c r="BO900"/>
      <c r="BP900"/>
      <c r="BQ900"/>
      <c r="BR900"/>
      <c r="BS900"/>
      <c r="BT900"/>
      <c r="BU900"/>
      <c r="BV900"/>
      <c r="BW900"/>
      <c r="BX900"/>
      <c r="BY900"/>
      <c r="BZ900"/>
    </row>
    <row r="901" spans="4:78" x14ac:dyDescent="0.25">
      <c r="D901"/>
      <c r="E901"/>
      <c r="F901"/>
      <c r="G901"/>
      <c r="H901"/>
      <c r="I901"/>
      <c r="J901"/>
      <c r="K901"/>
      <c r="L901"/>
      <c r="M901"/>
      <c r="N901"/>
      <c r="O901"/>
      <c r="P901"/>
      <c r="Q901"/>
      <c r="R901"/>
      <c r="S901"/>
      <c r="T901"/>
      <c r="U901"/>
      <c r="V901"/>
      <c r="W901"/>
      <c r="X901"/>
      <c r="Y901"/>
      <c r="Z901"/>
      <c r="AA901"/>
      <c r="AB901"/>
      <c r="AC901"/>
      <c r="AD901"/>
      <c r="AE901"/>
      <c r="AF901"/>
      <c r="AG901"/>
      <c r="AH901"/>
      <c r="AI901"/>
      <c r="AJ901"/>
      <c r="AK901"/>
      <c r="AL901"/>
      <c r="AM901"/>
      <c r="AN901"/>
      <c r="AO901"/>
      <c r="AP901"/>
      <c r="AQ901"/>
      <c r="AR901"/>
      <c r="AS901"/>
      <c r="AT901"/>
      <c r="AU901"/>
      <c r="AV901"/>
      <c r="AW901"/>
      <c r="AX901"/>
      <c r="AY901"/>
      <c r="AZ901"/>
      <c r="BA901"/>
      <c r="BB901"/>
      <c r="BC901"/>
      <c r="BD901"/>
      <c r="BE901"/>
      <c r="BF901"/>
      <c r="BG901"/>
      <c r="BH901"/>
      <c r="BI901"/>
      <c r="BJ901"/>
      <c r="BK901"/>
      <c r="BL901"/>
      <c r="BM901"/>
      <c r="BN901"/>
      <c r="BO901"/>
      <c r="BP901"/>
      <c r="BQ901"/>
      <c r="BR901"/>
      <c r="BS901"/>
      <c r="BT901"/>
      <c r="BU901"/>
      <c r="BV901"/>
      <c r="BW901"/>
      <c r="BX901"/>
      <c r="BY901"/>
      <c r="BZ901"/>
    </row>
    <row r="902" spans="4:78" x14ac:dyDescent="0.25">
      <c r="D902"/>
      <c r="E902"/>
      <c r="F902"/>
      <c r="G902"/>
      <c r="H902"/>
      <c r="I902"/>
      <c r="J902"/>
      <c r="K902"/>
      <c r="L902"/>
      <c r="M902"/>
      <c r="N902"/>
      <c r="O902"/>
      <c r="P902"/>
      <c r="Q902"/>
      <c r="R902"/>
      <c r="S902"/>
      <c r="T902"/>
      <c r="U902"/>
      <c r="V902"/>
      <c r="W902"/>
      <c r="X902"/>
      <c r="Y902"/>
      <c r="Z902"/>
      <c r="AA902"/>
      <c r="AB902"/>
      <c r="AC902"/>
      <c r="AD902"/>
      <c r="AE902"/>
      <c r="AF902"/>
      <c r="AG902"/>
      <c r="AH902"/>
      <c r="AI902"/>
      <c r="AJ902"/>
      <c r="AK902"/>
      <c r="AL902"/>
      <c r="AM902"/>
      <c r="AN902"/>
      <c r="AO902"/>
      <c r="AP902"/>
      <c r="AQ902"/>
      <c r="AR902"/>
      <c r="AS902"/>
      <c r="AT902"/>
      <c r="AU902"/>
      <c r="AV902"/>
      <c r="AW902"/>
      <c r="AX902"/>
      <c r="AY902"/>
      <c r="AZ902"/>
      <c r="BA902"/>
      <c r="BB902"/>
      <c r="BC902"/>
      <c r="BD902"/>
      <c r="BE902"/>
      <c r="BF902"/>
      <c r="BG902"/>
      <c r="BH902"/>
      <c r="BI902"/>
      <c r="BJ902"/>
      <c r="BK902"/>
      <c r="BL902"/>
      <c r="BM902"/>
      <c r="BN902"/>
      <c r="BO902"/>
      <c r="BP902"/>
      <c r="BQ902"/>
      <c r="BR902"/>
      <c r="BS902"/>
      <c r="BT902"/>
      <c r="BU902"/>
      <c r="BV902"/>
      <c r="BW902"/>
      <c r="BX902"/>
      <c r="BY902"/>
      <c r="BZ902"/>
    </row>
    <row r="903" spans="4:78" x14ac:dyDescent="0.25">
      <c r="D903"/>
      <c r="E903"/>
      <c r="F903"/>
      <c r="G903"/>
      <c r="H903"/>
      <c r="I903"/>
      <c r="J903"/>
      <c r="K903"/>
      <c r="L903"/>
      <c r="M903"/>
      <c r="N903"/>
      <c r="O903"/>
      <c r="P903"/>
      <c r="Q903"/>
      <c r="R903"/>
      <c r="S903"/>
      <c r="T903"/>
      <c r="U903"/>
      <c r="V903"/>
      <c r="W903"/>
      <c r="X903"/>
      <c r="Y903"/>
      <c r="Z903"/>
      <c r="AA903"/>
      <c r="AB903"/>
      <c r="AC903"/>
      <c r="AD903"/>
      <c r="AE903"/>
      <c r="AF903"/>
      <c r="AG903"/>
      <c r="AH903"/>
      <c r="AI903"/>
      <c r="AJ903"/>
      <c r="AK903"/>
      <c r="AL903"/>
      <c r="AM903"/>
      <c r="AN903"/>
      <c r="AO903"/>
      <c r="AP903"/>
      <c r="AQ903"/>
      <c r="AR903"/>
      <c r="AS903"/>
      <c r="AT903"/>
      <c r="AU903"/>
      <c r="AV903"/>
      <c r="AW903"/>
      <c r="AX903"/>
      <c r="AY903"/>
      <c r="AZ903"/>
      <c r="BA903"/>
      <c r="BB903"/>
      <c r="BC903"/>
      <c r="BD903"/>
      <c r="BE903"/>
      <c r="BF903"/>
      <c r="BG903"/>
      <c r="BH903"/>
      <c r="BI903"/>
      <c r="BJ903"/>
      <c r="BK903"/>
      <c r="BL903"/>
      <c r="BM903"/>
      <c r="BN903"/>
      <c r="BO903"/>
      <c r="BP903"/>
      <c r="BQ903"/>
      <c r="BR903"/>
      <c r="BS903"/>
      <c r="BT903"/>
      <c r="BU903"/>
      <c r="BV903"/>
      <c r="BW903"/>
      <c r="BX903"/>
      <c r="BY903"/>
      <c r="BZ903"/>
    </row>
    <row r="904" spans="4:78" x14ac:dyDescent="0.25">
      <c r="D904"/>
      <c r="E904"/>
      <c r="F904"/>
      <c r="G904"/>
      <c r="H904"/>
      <c r="I904"/>
      <c r="J904"/>
      <c r="K904"/>
      <c r="L904"/>
      <c r="M904"/>
      <c r="N904"/>
      <c r="O904"/>
      <c r="P904"/>
      <c r="Q904"/>
      <c r="R904"/>
      <c r="S904"/>
      <c r="T904"/>
      <c r="U904"/>
      <c r="V904"/>
      <c r="W904"/>
      <c r="X904"/>
      <c r="Y904"/>
      <c r="Z904"/>
      <c r="AA904"/>
      <c r="AB904"/>
      <c r="AC904"/>
      <c r="AD904"/>
      <c r="AE904"/>
      <c r="AF904"/>
      <c r="AG904"/>
      <c r="AH904"/>
      <c r="AI904"/>
      <c r="AJ904"/>
      <c r="AK904"/>
      <c r="AL904"/>
      <c r="AM904"/>
      <c r="AN904"/>
      <c r="AO904"/>
      <c r="AP904"/>
      <c r="AQ904"/>
      <c r="AR904"/>
      <c r="AS904"/>
      <c r="AT904"/>
      <c r="AU904"/>
      <c r="AV904"/>
      <c r="AW904"/>
      <c r="AX904"/>
      <c r="AY904"/>
      <c r="AZ904"/>
      <c r="BA904"/>
      <c r="BB904"/>
      <c r="BC904"/>
      <c r="BD904"/>
      <c r="BE904"/>
      <c r="BF904"/>
      <c r="BG904"/>
      <c r="BH904"/>
      <c r="BI904"/>
      <c r="BJ904"/>
      <c r="BK904"/>
      <c r="BL904"/>
      <c r="BM904"/>
      <c r="BN904"/>
      <c r="BO904"/>
      <c r="BP904"/>
      <c r="BQ904"/>
      <c r="BR904"/>
      <c r="BS904"/>
      <c r="BT904"/>
      <c r="BU904"/>
      <c r="BV904"/>
      <c r="BW904"/>
      <c r="BX904"/>
      <c r="BY904"/>
      <c r="BZ904"/>
    </row>
    <row r="905" spans="4:78" x14ac:dyDescent="0.25">
      <c r="D905"/>
      <c r="E905"/>
      <c r="F905"/>
      <c r="G905"/>
      <c r="H905"/>
      <c r="I905"/>
      <c r="J905"/>
      <c r="K905"/>
      <c r="L905"/>
      <c r="M905"/>
      <c r="N905"/>
      <c r="O905"/>
      <c r="P905"/>
      <c r="Q905"/>
      <c r="R905"/>
      <c r="S905"/>
      <c r="T905"/>
      <c r="U905"/>
      <c r="V905"/>
      <c r="W905"/>
      <c r="X905"/>
      <c r="Y905"/>
      <c r="Z905"/>
      <c r="AA905"/>
      <c r="AB905"/>
      <c r="AC905"/>
      <c r="AD905"/>
      <c r="AE905"/>
      <c r="AF905"/>
      <c r="AG905"/>
      <c r="AH905"/>
      <c r="AI905"/>
      <c r="AJ905"/>
      <c r="AK905"/>
      <c r="AL905"/>
      <c r="AM905"/>
      <c r="AN905"/>
      <c r="AO905"/>
      <c r="AP905"/>
      <c r="AQ905"/>
      <c r="AR905"/>
      <c r="AS905"/>
      <c r="AT905"/>
      <c r="AU905"/>
      <c r="AV905"/>
      <c r="AW905"/>
      <c r="AX905"/>
      <c r="AY905"/>
      <c r="AZ905"/>
      <c r="BA905"/>
      <c r="BB905"/>
      <c r="BC905"/>
      <c r="BD905"/>
      <c r="BE905"/>
      <c r="BF905"/>
      <c r="BG905"/>
      <c r="BH905"/>
      <c r="BI905"/>
      <c r="BJ905"/>
      <c r="BK905"/>
      <c r="BL905"/>
      <c r="BM905"/>
      <c r="BN905"/>
      <c r="BO905"/>
      <c r="BP905"/>
      <c r="BQ905"/>
      <c r="BR905"/>
      <c r="BS905"/>
      <c r="BT905"/>
      <c r="BU905"/>
      <c r="BV905"/>
      <c r="BW905"/>
      <c r="BX905"/>
      <c r="BY905"/>
      <c r="BZ905"/>
    </row>
    <row r="906" spans="4:78" x14ac:dyDescent="0.25">
      <c r="D906"/>
      <c r="E906"/>
      <c r="F906"/>
      <c r="G906"/>
      <c r="H906"/>
      <c r="I906"/>
      <c r="J906"/>
      <c r="K906"/>
      <c r="L906"/>
      <c r="M906"/>
      <c r="N906"/>
      <c r="O906"/>
      <c r="P906"/>
      <c r="Q906"/>
      <c r="R906"/>
      <c r="S906"/>
      <c r="T906"/>
      <c r="U906"/>
      <c r="V906"/>
      <c r="W906"/>
      <c r="X906"/>
      <c r="Y906"/>
      <c r="Z906"/>
      <c r="AA906"/>
      <c r="AB906"/>
      <c r="AC906"/>
      <c r="AD906"/>
      <c r="AE906"/>
      <c r="AF906"/>
      <c r="AG906"/>
      <c r="AH906"/>
      <c r="AI906"/>
      <c r="AJ906"/>
      <c r="AK906"/>
      <c r="AL906"/>
      <c r="AM906"/>
      <c r="AN906"/>
      <c r="AO906"/>
      <c r="AP906"/>
      <c r="AQ906"/>
      <c r="AR906"/>
      <c r="AS906"/>
      <c r="AT906"/>
      <c r="AU906"/>
      <c r="AV906"/>
      <c r="AW906"/>
      <c r="AX906"/>
      <c r="AY906"/>
      <c r="AZ906"/>
      <c r="BA906"/>
      <c r="BB906"/>
      <c r="BC906"/>
      <c r="BD906"/>
      <c r="BE906"/>
      <c r="BF906"/>
      <c r="BG906"/>
      <c r="BH906"/>
      <c r="BI906"/>
      <c r="BJ906"/>
      <c r="BK906"/>
      <c r="BL906"/>
      <c r="BM906"/>
      <c r="BN906"/>
      <c r="BO906"/>
      <c r="BP906"/>
      <c r="BQ906"/>
      <c r="BR906"/>
      <c r="BS906"/>
      <c r="BT906"/>
      <c r="BU906"/>
      <c r="BV906"/>
      <c r="BW906"/>
      <c r="BX906"/>
      <c r="BY906"/>
      <c r="BZ906"/>
    </row>
    <row r="907" spans="4:78" x14ac:dyDescent="0.25">
      <c r="D907"/>
      <c r="E907"/>
      <c r="F907"/>
      <c r="G907"/>
      <c r="H907"/>
      <c r="I907"/>
      <c r="J907"/>
      <c r="K907"/>
      <c r="L907"/>
      <c r="M907"/>
      <c r="N907"/>
      <c r="O907"/>
      <c r="P907"/>
      <c r="Q907"/>
      <c r="R907"/>
      <c r="S907"/>
      <c r="T907"/>
      <c r="U907"/>
      <c r="V907"/>
      <c r="W907"/>
      <c r="X907"/>
      <c r="Y907"/>
      <c r="Z907"/>
      <c r="AA907"/>
      <c r="AB907"/>
      <c r="AC907"/>
      <c r="AD907"/>
      <c r="AE907"/>
      <c r="AF907"/>
      <c r="AG907"/>
      <c r="AH907"/>
      <c r="AI907"/>
      <c r="AJ907"/>
      <c r="AK907"/>
      <c r="AL907"/>
      <c r="AM907"/>
      <c r="AN907"/>
      <c r="AO907"/>
      <c r="AP907"/>
      <c r="AQ907"/>
      <c r="AR907"/>
      <c r="AS907"/>
      <c r="AT907"/>
      <c r="AU907"/>
      <c r="AV907"/>
      <c r="AW907"/>
      <c r="AX907"/>
      <c r="AY907"/>
      <c r="AZ907"/>
      <c r="BA907"/>
      <c r="BB907"/>
      <c r="BC907"/>
      <c r="BD907"/>
      <c r="BE907"/>
      <c r="BF907"/>
      <c r="BG907"/>
      <c r="BH907"/>
      <c r="BI907"/>
      <c r="BJ907"/>
      <c r="BK907"/>
      <c r="BL907"/>
      <c r="BM907"/>
      <c r="BN907"/>
      <c r="BO907"/>
      <c r="BP907"/>
      <c r="BQ907"/>
      <c r="BR907"/>
      <c r="BS907"/>
      <c r="BT907"/>
      <c r="BU907"/>
      <c r="BV907"/>
      <c r="BW907"/>
      <c r="BX907"/>
      <c r="BY907"/>
      <c r="BZ907"/>
    </row>
    <row r="908" spans="4:78" x14ac:dyDescent="0.25">
      <c r="D908"/>
      <c r="E908"/>
      <c r="F908"/>
      <c r="G908"/>
      <c r="H908"/>
      <c r="I908"/>
      <c r="J908"/>
      <c r="K908"/>
      <c r="L908"/>
      <c r="M908"/>
      <c r="N908"/>
      <c r="O908"/>
      <c r="P908"/>
      <c r="Q908"/>
      <c r="R908"/>
      <c r="S908"/>
      <c r="T908"/>
      <c r="U908"/>
      <c r="V908"/>
      <c r="W908"/>
      <c r="X908"/>
      <c r="Y908"/>
      <c r="Z908"/>
      <c r="AA908"/>
      <c r="AB908"/>
      <c r="AC908"/>
      <c r="AD908"/>
      <c r="AE908"/>
      <c r="AF908"/>
      <c r="AG908"/>
      <c r="AH908"/>
      <c r="AI908"/>
      <c r="AJ908"/>
      <c r="AK908"/>
      <c r="AL908"/>
      <c r="AM908"/>
      <c r="AN908"/>
      <c r="AO908"/>
      <c r="AP908"/>
      <c r="AQ908"/>
      <c r="AR908"/>
      <c r="AS908"/>
      <c r="AT908"/>
      <c r="AU908"/>
      <c r="AV908"/>
      <c r="AW908"/>
      <c r="AX908"/>
      <c r="AY908"/>
      <c r="AZ908"/>
      <c r="BA908"/>
      <c r="BB908"/>
      <c r="BC908"/>
      <c r="BD908"/>
      <c r="BE908"/>
      <c r="BF908"/>
      <c r="BG908"/>
      <c r="BH908"/>
      <c r="BI908"/>
      <c r="BJ908"/>
      <c r="BK908"/>
      <c r="BL908"/>
      <c r="BM908"/>
      <c r="BN908"/>
      <c r="BO908"/>
      <c r="BP908"/>
      <c r="BQ908"/>
      <c r="BR908"/>
      <c r="BS908"/>
      <c r="BT908"/>
      <c r="BU908"/>
      <c r="BV908"/>
      <c r="BW908"/>
      <c r="BX908"/>
      <c r="BY908"/>
      <c r="BZ908"/>
    </row>
    <row r="909" spans="4:78" x14ac:dyDescent="0.25">
      <c r="D909"/>
      <c r="E909"/>
      <c r="F909"/>
      <c r="G909"/>
      <c r="H909"/>
      <c r="I909"/>
      <c r="J909"/>
      <c r="K909"/>
      <c r="L909"/>
      <c r="M909"/>
      <c r="N909"/>
      <c r="O909"/>
      <c r="P909"/>
      <c r="Q909"/>
      <c r="R909"/>
      <c r="S909"/>
      <c r="T909"/>
      <c r="U909"/>
      <c r="V909"/>
      <c r="W909"/>
      <c r="X909"/>
      <c r="Y909"/>
      <c r="Z909"/>
      <c r="AA909"/>
      <c r="AB909"/>
      <c r="AC909"/>
      <c r="AD909"/>
      <c r="AE909"/>
      <c r="AF909"/>
      <c r="AG909"/>
      <c r="AH909"/>
      <c r="AI909"/>
      <c r="AJ909"/>
      <c r="AK909"/>
      <c r="AL909"/>
      <c r="AM909"/>
      <c r="AN909"/>
      <c r="AO909"/>
      <c r="AP909"/>
      <c r="AQ909"/>
      <c r="AR909"/>
      <c r="AS909"/>
      <c r="AT909"/>
      <c r="AU909"/>
      <c r="AV909"/>
      <c r="AW909"/>
      <c r="AX909"/>
      <c r="AY909"/>
      <c r="AZ909"/>
      <c r="BA909"/>
      <c r="BB909"/>
      <c r="BC909"/>
      <c r="BD909"/>
      <c r="BE909"/>
      <c r="BF909"/>
      <c r="BG909"/>
      <c r="BH909"/>
      <c r="BI909"/>
      <c r="BJ909"/>
      <c r="BK909"/>
      <c r="BL909"/>
      <c r="BM909"/>
      <c r="BN909"/>
      <c r="BO909"/>
      <c r="BP909"/>
      <c r="BQ909"/>
      <c r="BR909"/>
      <c r="BS909"/>
      <c r="BT909"/>
      <c r="BU909"/>
      <c r="BV909"/>
      <c r="BW909"/>
      <c r="BX909"/>
      <c r="BY909"/>
      <c r="BZ909"/>
    </row>
    <row r="910" spans="4:78" x14ac:dyDescent="0.25">
      <c r="D910"/>
      <c r="E910"/>
      <c r="F910"/>
      <c r="G910"/>
      <c r="H910"/>
      <c r="I910"/>
      <c r="J910"/>
      <c r="K910"/>
      <c r="L910"/>
      <c r="M910"/>
      <c r="N910"/>
      <c r="O910"/>
      <c r="P910"/>
      <c r="Q910"/>
      <c r="R910"/>
      <c r="S910"/>
      <c r="T910"/>
      <c r="U910"/>
      <c r="V910"/>
      <c r="W910"/>
      <c r="X910"/>
      <c r="Y910"/>
      <c r="Z910"/>
      <c r="AA910"/>
      <c r="AB910"/>
      <c r="AC910"/>
      <c r="AD910"/>
      <c r="AE910"/>
      <c r="AF910"/>
      <c r="AG910"/>
      <c r="AH910"/>
      <c r="AI910"/>
      <c r="AJ910"/>
      <c r="AK910"/>
      <c r="AL910"/>
      <c r="AM910"/>
      <c r="AN910"/>
      <c r="AO910"/>
      <c r="AP910"/>
      <c r="AQ910"/>
      <c r="AR910"/>
      <c r="AS910"/>
      <c r="AT910"/>
      <c r="AU910"/>
      <c r="AV910"/>
      <c r="AW910"/>
      <c r="AX910"/>
      <c r="AY910"/>
      <c r="AZ910"/>
      <c r="BA910"/>
      <c r="BB910"/>
      <c r="BC910"/>
      <c r="BD910"/>
      <c r="BE910"/>
      <c r="BF910"/>
      <c r="BG910"/>
      <c r="BH910"/>
      <c r="BI910"/>
      <c r="BJ910"/>
      <c r="BK910"/>
      <c r="BL910"/>
      <c r="BM910"/>
      <c r="BN910"/>
      <c r="BO910"/>
      <c r="BP910"/>
      <c r="BQ910"/>
      <c r="BR910"/>
      <c r="BS910"/>
      <c r="BT910"/>
      <c r="BU910"/>
      <c r="BV910"/>
      <c r="BW910"/>
      <c r="BX910"/>
      <c r="BY910"/>
      <c r="BZ910"/>
    </row>
    <row r="911" spans="4:78" x14ac:dyDescent="0.25">
      <c r="D911"/>
      <c r="E911"/>
      <c r="F911"/>
      <c r="G911"/>
      <c r="H911"/>
      <c r="I911"/>
      <c r="J911"/>
      <c r="K911"/>
      <c r="L911"/>
      <c r="M911"/>
      <c r="N911"/>
      <c r="O911"/>
      <c r="P911"/>
      <c r="Q911"/>
      <c r="R911"/>
      <c r="S911"/>
      <c r="T911"/>
      <c r="U911"/>
      <c r="V911"/>
      <c r="W911"/>
      <c r="X911"/>
      <c r="Y911"/>
      <c r="Z911"/>
      <c r="AA911"/>
      <c r="AB911"/>
      <c r="AC911"/>
      <c r="AD911"/>
      <c r="AE911"/>
      <c r="AF911"/>
      <c r="AG911"/>
      <c r="AH911"/>
      <c r="AI911"/>
      <c r="AJ911"/>
      <c r="AK911"/>
      <c r="AL911"/>
      <c r="AM911"/>
      <c r="AN911"/>
      <c r="AO911"/>
      <c r="AP911"/>
      <c r="AQ911"/>
      <c r="AR911"/>
      <c r="AS911"/>
      <c r="AT911"/>
      <c r="AU911"/>
      <c r="AV911"/>
      <c r="AW911"/>
      <c r="AX911"/>
      <c r="AY911"/>
      <c r="AZ911"/>
      <c r="BA911"/>
      <c r="BB911"/>
      <c r="BC911"/>
      <c r="BD911"/>
      <c r="BE911"/>
      <c r="BF911"/>
      <c r="BG911"/>
      <c r="BH911"/>
      <c r="BI911"/>
      <c r="BJ911"/>
      <c r="BK911"/>
      <c r="BL911"/>
      <c r="BM911"/>
      <c r="BN911"/>
      <c r="BO911"/>
      <c r="BP911"/>
      <c r="BQ911"/>
      <c r="BR911"/>
      <c r="BS911"/>
      <c r="BT911"/>
      <c r="BU911"/>
      <c r="BV911"/>
      <c r="BW911"/>
      <c r="BX911"/>
      <c r="BY911"/>
      <c r="BZ911"/>
    </row>
    <row r="912" spans="4:78" x14ac:dyDescent="0.25">
      <c r="D912"/>
      <c r="E912"/>
      <c r="F912"/>
      <c r="G912"/>
      <c r="H912"/>
      <c r="I912"/>
      <c r="J912"/>
      <c r="K912"/>
      <c r="L912"/>
      <c r="M912"/>
      <c r="N912"/>
      <c r="O912"/>
      <c r="P912"/>
      <c r="Q912"/>
      <c r="R912"/>
      <c r="S912"/>
      <c r="T912"/>
      <c r="U912"/>
      <c r="V912"/>
      <c r="W912"/>
      <c r="X912"/>
      <c r="Y912"/>
      <c r="Z912"/>
      <c r="AA912"/>
      <c r="AB912"/>
      <c r="AC912"/>
      <c r="AD912"/>
      <c r="AE912"/>
      <c r="AF912"/>
      <c r="AG912"/>
      <c r="AH912"/>
      <c r="AI912"/>
      <c r="AJ912"/>
      <c r="AK912"/>
      <c r="AL912"/>
      <c r="AM912"/>
      <c r="AN912"/>
      <c r="AO912"/>
      <c r="AP912"/>
      <c r="AQ912"/>
      <c r="AR912"/>
      <c r="AS912"/>
      <c r="AT912"/>
      <c r="AU912"/>
      <c r="AV912"/>
      <c r="AW912"/>
      <c r="AX912"/>
      <c r="AY912"/>
      <c r="AZ912"/>
      <c r="BA912"/>
      <c r="BB912"/>
      <c r="BC912"/>
      <c r="BD912"/>
      <c r="BE912"/>
      <c r="BF912"/>
      <c r="BG912"/>
      <c r="BH912"/>
      <c r="BI912"/>
      <c r="BJ912"/>
      <c r="BK912"/>
      <c r="BL912"/>
      <c r="BM912"/>
      <c r="BN912"/>
      <c r="BO912"/>
      <c r="BP912"/>
      <c r="BQ912"/>
      <c r="BR912"/>
      <c r="BS912"/>
      <c r="BT912"/>
      <c r="BU912"/>
      <c r="BV912"/>
      <c r="BW912"/>
      <c r="BX912"/>
      <c r="BY912"/>
      <c r="BZ912"/>
    </row>
    <row r="913" spans="4:78" x14ac:dyDescent="0.25">
      <c r="D913"/>
      <c r="E913"/>
      <c r="F913"/>
      <c r="G913"/>
      <c r="H913"/>
      <c r="I913"/>
      <c r="J913"/>
      <c r="K913"/>
      <c r="L913"/>
      <c r="M913"/>
      <c r="N913"/>
      <c r="O913"/>
      <c r="P913"/>
      <c r="Q913"/>
      <c r="R913"/>
      <c r="S913"/>
      <c r="T913"/>
      <c r="U913"/>
      <c r="V913"/>
      <c r="W913"/>
      <c r="X913"/>
      <c r="Y913"/>
      <c r="Z913"/>
      <c r="AA913"/>
      <c r="AB913"/>
      <c r="AC913"/>
      <c r="AD913"/>
      <c r="AE913"/>
      <c r="AF913"/>
      <c r="AG913"/>
      <c r="AH913"/>
      <c r="AI913"/>
      <c r="AJ913"/>
      <c r="AK913"/>
      <c r="AL913"/>
      <c r="AM913"/>
      <c r="AN913"/>
      <c r="AO913"/>
      <c r="AP913"/>
      <c r="AQ913"/>
      <c r="AR913"/>
      <c r="AS913"/>
      <c r="AT913"/>
      <c r="AU913"/>
      <c r="AV913"/>
      <c r="AW913"/>
      <c r="AX913"/>
      <c r="AY913"/>
      <c r="AZ913"/>
      <c r="BA913"/>
      <c r="BB913"/>
      <c r="BC913"/>
      <c r="BD913"/>
      <c r="BE913"/>
      <c r="BF913"/>
      <c r="BG913"/>
      <c r="BH913"/>
      <c r="BI913"/>
      <c r="BJ913"/>
      <c r="BK913"/>
      <c r="BL913"/>
      <c r="BM913"/>
      <c r="BN913"/>
      <c r="BO913"/>
      <c r="BP913"/>
      <c r="BQ913"/>
      <c r="BR913"/>
      <c r="BS913"/>
      <c r="BT913"/>
      <c r="BU913"/>
      <c r="BV913"/>
      <c r="BW913"/>
      <c r="BX913"/>
      <c r="BY913"/>
      <c r="BZ913"/>
    </row>
    <row r="914" spans="4:78" x14ac:dyDescent="0.25">
      <c r="D914"/>
      <c r="E914"/>
      <c r="F914"/>
      <c r="G914"/>
      <c r="H914"/>
      <c r="I914"/>
      <c r="J914"/>
      <c r="K914"/>
      <c r="L914"/>
      <c r="M914"/>
      <c r="N914"/>
      <c r="O914"/>
      <c r="P914"/>
      <c r="Q914"/>
      <c r="R914"/>
      <c r="S914"/>
      <c r="T914"/>
      <c r="U914"/>
      <c r="V914"/>
      <c r="W914"/>
      <c r="X914"/>
      <c r="Y914"/>
      <c r="Z914"/>
      <c r="AA914"/>
      <c r="AB914"/>
      <c r="AC914"/>
      <c r="AD914"/>
      <c r="AE914"/>
      <c r="AF914"/>
      <c r="AG914"/>
      <c r="AH914"/>
      <c r="AI914"/>
      <c r="AJ914"/>
      <c r="AK914"/>
      <c r="AL914"/>
      <c r="AM914"/>
      <c r="AN914"/>
      <c r="AO914"/>
      <c r="AP914"/>
      <c r="AQ914"/>
      <c r="AR914"/>
      <c r="AS914"/>
      <c r="AT914"/>
      <c r="AU914"/>
      <c r="AV914"/>
      <c r="AW914"/>
      <c r="AX914"/>
      <c r="AY914"/>
      <c r="AZ914"/>
      <c r="BA914"/>
      <c r="BB914"/>
      <c r="BC914"/>
      <c r="BD914"/>
      <c r="BE914"/>
      <c r="BF914"/>
      <c r="BG914"/>
      <c r="BH914"/>
      <c r="BI914"/>
      <c r="BJ914"/>
      <c r="BK914"/>
      <c r="BL914"/>
      <c r="BM914"/>
      <c r="BN914"/>
      <c r="BO914"/>
      <c r="BP914"/>
      <c r="BQ914"/>
      <c r="BR914"/>
      <c r="BS914"/>
      <c r="BT914"/>
      <c r="BU914"/>
      <c r="BV914"/>
      <c r="BW914"/>
      <c r="BX914"/>
      <c r="BY914"/>
      <c r="BZ914"/>
    </row>
    <row r="915" spans="4:78" x14ac:dyDescent="0.25">
      <c r="D915"/>
      <c r="E915"/>
      <c r="F915"/>
      <c r="G915"/>
      <c r="H915"/>
      <c r="I915"/>
      <c r="J915"/>
      <c r="K915"/>
      <c r="L915"/>
      <c r="M915"/>
      <c r="N915"/>
      <c r="O915"/>
      <c r="P915"/>
      <c r="Q915"/>
      <c r="R915"/>
      <c r="S915"/>
      <c r="T915"/>
      <c r="U915"/>
      <c r="V915"/>
      <c r="W915"/>
      <c r="X915"/>
      <c r="Y915"/>
      <c r="Z915"/>
      <c r="AA915"/>
      <c r="AB915"/>
      <c r="AC915"/>
      <c r="AD915"/>
      <c r="AE915"/>
      <c r="AF915"/>
      <c r="AG915"/>
      <c r="AH915"/>
      <c r="AI915"/>
      <c r="AJ915"/>
      <c r="AK915"/>
      <c r="AL915"/>
      <c r="AM915"/>
      <c r="AN915"/>
      <c r="AO915"/>
      <c r="AP915"/>
      <c r="AQ915"/>
      <c r="AR915"/>
      <c r="AS915"/>
      <c r="AT915"/>
      <c r="AU915"/>
      <c r="AV915"/>
      <c r="AW915"/>
      <c r="AX915"/>
      <c r="AY915"/>
      <c r="AZ915"/>
      <c r="BA915"/>
      <c r="BB915"/>
      <c r="BC915"/>
      <c r="BD915"/>
      <c r="BE915"/>
      <c r="BF915"/>
      <c r="BG915"/>
      <c r="BH915"/>
      <c r="BI915"/>
      <c r="BJ915"/>
      <c r="BK915"/>
      <c r="BL915"/>
      <c r="BM915"/>
      <c r="BN915"/>
      <c r="BO915"/>
      <c r="BP915"/>
      <c r="BQ915"/>
      <c r="BR915"/>
      <c r="BS915"/>
      <c r="BT915"/>
      <c r="BU915"/>
      <c r="BV915"/>
      <c r="BW915"/>
      <c r="BX915"/>
      <c r="BY915"/>
      <c r="BZ915"/>
    </row>
    <row r="916" spans="4:78" x14ac:dyDescent="0.25">
      <c r="D916"/>
      <c r="E916"/>
      <c r="F916"/>
      <c r="G916"/>
      <c r="H916"/>
      <c r="I916"/>
      <c r="J916"/>
      <c r="K916"/>
      <c r="L916"/>
      <c r="M916"/>
      <c r="N916"/>
      <c r="O916"/>
      <c r="P916"/>
      <c r="Q916"/>
      <c r="R916"/>
      <c r="S916"/>
      <c r="T916"/>
      <c r="U916"/>
      <c r="V916"/>
      <c r="W916"/>
      <c r="X916"/>
      <c r="Y916"/>
      <c r="Z916"/>
      <c r="AA916"/>
      <c r="AB916"/>
      <c r="AC916"/>
      <c r="AD916"/>
      <c r="AE916"/>
      <c r="AF916"/>
      <c r="AG916"/>
      <c r="AH916"/>
      <c r="AI916"/>
      <c r="AJ916"/>
      <c r="AK916"/>
      <c r="AL916"/>
      <c r="AM916"/>
      <c r="AN916"/>
      <c r="AO916"/>
      <c r="AP916"/>
      <c r="AQ916"/>
      <c r="AR916"/>
      <c r="AS916"/>
      <c r="AT916"/>
      <c r="AU916"/>
      <c r="AV916"/>
      <c r="AW916"/>
      <c r="AX916"/>
      <c r="AY916"/>
      <c r="AZ916"/>
      <c r="BA916"/>
      <c r="BB916"/>
      <c r="BC916"/>
      <c r="BD916"/>
      <c r="BE916"/>
      <c r="BF916"/>
      <c r="BG916"/>
      <c r="BH916"/>
      <c r="BI916"/>
      <c r="BJ916"/>
      <c r="BK916"/>
      <c r="BL916"/>
      <c r="BM916"/>
      <c r="BN916"/>
      <c r="BO916"/>
      <c r="BP916"/>
      <c r="BQ916"/>
      <c r="BR916"/>
      <c r="BS916"/>
      <c r="BT916"/>
      <c r="BU916"/>
      <c r="BV916"/>
      <c r="BW916"/>
      <c r="BX916"/>
      <c r="BY916"/>
      <c r="BZ916"/>
    </row>
    <row r="917" spans="4:78" x14ac:dyDescent="0.25">
      <c r="D917"/>
      <c r="E917"/>
      <c r="F917"/>
      <c r="G917"/>
      <c r="H917"/>
      <c r="I917"/>
      <c r="J917"/>
      <c r="K917"/>
      <c r="L917"/>
      <c r="M917"/>
      <c r="N917"/>
      <c r="O917"/>
      <c r="P917"/>
      <c r="Q917"/>
      <c r="R917"/>
      <c r="S917"/>
      <c r="T917"/>
      <c r="U917"/>
      <c r="V917"/>
      <c r="W917"/>
      <c r="X917"/>
      <c r="Y917"/>
      <c r="Z917"/>
      <c r="AA917"/>
      <c r="AB917"/>
      <c r="AC917"/>
      <c r="AD917"/>
      <c r="AE917"/>
      <c r="AF917"/>
      <c r="AG917"/>
      <c r="AH917"/>
      <c r="AI917"/>
      <c r="AJ917"/>
      <c r="AK917"/>
      <c r="AL917"/>
      <c r="AM917"/>
      <c r="AN917"/>
      <c r="AO917"/>
      <c r="AP917"/>
      <c r="AQ917"/>
      <c r="AR917"/>
      <c r="AS917"/>
      <c r="AT917"/>
      <c r="AU917"/>
      <c r="AV917"/>
      <c r="AW917"/>
      <c r="AX917"/>
      <c r="AY917"/>
      <c r="AZ917"/>
      <c r="BA917"/>
      <c r="BB917"/>
      <c r="BC917"/>
      <c r="BD917"/>
      <c r="BE917"/>
      <c r="BF917"/>
      <c r="BG917"/>
      <c r="BH917"/>
      <c r="BI917"/>
      <c r="BJ917"/>
      <c r="BK917"/>
      <c r="BL917"/>
      <c r="BM917"/>
      <c r="BN917"/>
      <c r="BO917"/>
      <c r="BP917"/>
      <c r="BQ917"/>
      <c r="BR917"/>
      <c r="BS917"/>
      <c r="BT917"/>
      <c r="BU917"/>
      <c r="BV917"/>
      <c r="BW917"/>
      <c r="BX917"/>
      <c r="BY917"/>
      <c r="BZ917"/>
    </row>
    <row r="918" spans="4:78" x14ac:dyDescent="0.25">
      <c r="D918"/>
      <c r="E918"/>
      <c r="F918"/>
      <c r="G918"/>
      <c r="H918"/>
      <c r="I918"/>
      <c r="J918"/>
      <c r="K918"/>
      <c r="L918"/>
      <c r="M918"/>
      <c r="N918"/>
      <c r="O918"/>
      <c r="P918"/>
      <c r="Q918"/>
      <c r="R918"/>
      <c r="S918"/>
      <c r="T918"/>
      <c r="U918"/>
      <c r="V918"/>
      <c r="W918"/>
      <c r="X918"/>
      <c r="Y918"/>
      <c r="Z918"/>
      <c r="AA918"/>
      <c r="AB918"/>
      <c r="AC918"/>
      <c r="AD918"/>
      <c r="AE918"/>
      <c r="AF918"/>
      <c r="AG918"/>
      <c r="AH918"/>
      <c r="AI918"/>
      <c r="AJ918"/>
      <c r="AK918"/>
      <c r="AL918"/>
      <c r="AM918"/>
      <c r="AN918"/>
      <c r="AO918"/>
      <c r="AP918"/>
      <c r="AQ918"/>
      <c r="AR918"/>
      <c r="AS918"/>
      <c r="AT918"/>
      <c r="AU918"/>
      <c r="AV918"/>
      <c r="AW918"/>
      <c r="AX918"/>
      <c r="AY918"/>
      <c r="AZ918"/>
      <c r="BA918"/>
      <c r="BB918"/>
      <c r="BC918"/>
      <c r="BD918"/>
      <c r="BE918"/>
      <c r="BF918"/>
      <c r="BG918"/>
      <c r="BH918"/>
      <c r="BI918"/>
      <c r="BJ918"/>
      <c r="BK918"/>
      <c r="BL918"/>
      <c r="BM918"/>
      <c r="BN918"/>
      <c r="BO918"/>
      <c r="BP918"/>
      <c r="BQ918"/>
      <c r="BR918"/>
      <c r="BS918"/>
      <c r="BT918"/>
      <c r="BU918"/>
      <c r="BV918"/>
      <c r="BW918"/>
      <c r="BX918"/>
      <c r="BY918"/>
      <c r="BZ918"/>
    </row>
    <row r="919" spans="4:78" x14ac:dyDescent="0.25">
      <c r="D919"/>
      <c r="E919"/>
      <c r="F919"/>
      <c r="G919"/>
      <c r="H919"/>
      <c r="I919"/>
      <c r="J919"/>
      <c r="K919"/>
      <c r="L919"/>
      <c r="M919"/>
      <c r="N919"/>
      <c r="O919"/>
      <c r="P919"/>
      <c r="Q919"/>
      <c r="R919"/>
      <c r="S919"/>
      <c r="T919"/>
      <c r="U919"/>
      <c r="V919"/>
      <c r="W919"/>
      <c r="X919"/>
      <c r="Y919"/>
      <c r="Z919"/>
      <c r="AA919"/>
      <c r="AB919"/>
      <c r="AC919"/>
      <c r="AD919"/>
      <c r="AE919"/>
      <c r="AF919"/>
      <c r="AG919"/>
      <c r="AH919"/>
      <c r="AI919"/>
      <c r="AJ919"/>
      <c r="AK919"/>
      <c r="AL919"/>
      <c r="AM919"/>
      <c r="AN919"/>
      <c r="AO919"/>
      <c r="AP919"/>
      <c r="AQ919"/>
      <c r="AR919"/>
      <c r="AS919"/>
      <c r="AT919"/>
      <c r="AU919"/>
      <c r="AV919"/>
      <c r="AW919"/>
      <c r="AX919"/>
      <c r="AY919"/>
      <c r="AZ919"/>
      <c r="BA919"/>
      <c r="BB919"/>
      <c r="BC919"/>
      <c r="BD919"/>
      <c r="BE919"/>
      <c r="BF919"/>
      <c r="BG919"/>
      <c r="BH919"/>
      <c r="BI919"/>
      <c r="BJ919"/>
      <c r="BK919"/>
      <c r="BL919"/>
      <c r="BM919"/>
      <c r="BN919"/>
      <c r="BO919"/>
      <c r="BP919"/>
      <c r="BQ919"/>
      <c r="BR919"/>
      <c r="BS919"/>
      <c r="BT919"/>
      <c r="BU919"/>
      <c r="BV919"/>
      <c r="BW919"/>
      <c r="BX919"/>
      <c r="BY919"/>
      <c r="BZ919"/>
    </row>
    <row r="920" spans="4:78" x14ac:dyDescent="0.25">
      <c r="D920"/>
      <c r="E920"/>
      <c r="F920"/>
      <c r="G920"/>
      <c r="H920"/>
      <c r="I920"/>
      <c r="J920"/>
      <c r="K920"/>
      <c r="L920"/>
      <c r="M920"/>
      <c r="N920"/>
      <c r="O920"/>
      <c r="P920"/>
      <c r="Q920"/>
      <c r="R920"/>
      <c r="S920"/>
      <c r="T920"/>
      <c r="U920"/>
      <c r="V920"/>
      <c r="W920"/>
      <c r="X920"/>
      <c r="Y920"/>
      <c r="Z920"/>
      <c r="AA920"/>
      <c r="AB920"/>
      <c r="AC920"/>
      <c r="AD920"/>
      <c r="AE920"/>
      <c r="AF920"/>
      <c r="AG920"/>
      <c r="AH920"/>
      <c r="AI920"/>
      <c r="AJ920"/>
      <c r="AK920"/>
      <c r="AL920"/>
      <c r="AM920"/>
      <c r="AN920"/>
      <c r="AO920"/>
      <c r="AP920"/>
      <c r="AQ920"/>
      <c r="AR920"/>
      <c r="AS920"/>
      <c r="AT920"/>
      <c r="AU920"/>
      <c r="AV920"/>
      <c r="AW920"/>
      <c r="AX920"/>
      <c r="AY920"/>
      <c r="AZ920"/>
      <c r="BA920"/>
      <c r="BB920"/>
      <c r="BC920"/>
      <c r="BD920"/>
      <c r="BE920"/>
      <c r="BF920"/>
      <c r="BG920"/>
      <c r="BH920"/>
      <c r="BI920"/>
      <c r="BJ920"/>
      <c r="BK920"/>
      <c r="BL920"/>
      <c r="BM920"/>
      <c r="BN920"/>
      <c r="BO920"/>
      <c r="BP920"/>
      <c r="BQ920"/>
      <c r="BR920"/>
      <c r="BS920"/>
      <c r="BT920"/>
      <c r="BU920"/>
      <c r="BV920"/>
      <c r="BW920"/>
      <c r="BX920"/>
      <c r="BY920"/>
      <c r="BZ920"/>
    </row>
    <row r="921" spans="4:78" x14ac:dyDescent="0.25">
      <c r="D921"/>
      <c r="E921"/>
      <c r="F921"/>
      <c r="G921"/>
      <c r="H921"/>
      <c r="I921"/>
      <c r="J921"/>
      <c r="K921"/>
      <c r="L921"/>
      <c r="M921"/>
      <c r="N921"/>
      <c r="O921"/>
      <c r="P921"/>
      <c r="Q921"/>
      <c r="R921"/>
      <c r="S921"/>
      <c r="T921"/>
      <c r="U921"/>
      <c r="V921"/>
      <c r="W921"/>
      <c r="X921"/>
      <c r="Y921"/>
      <c r="Z921"/>
      <c r="AA921"/>
      <c r="AB921"/>
      <c r="AC921"/>
      <c r="AD921"/>
      <c r="AE921"/>
      <c r="AF921"/>
      <c r="AG921"/>
      <c r="AH921"/>
      <c r="AI921"/>
      <c r="AJ921"/>
      <c r="AK921"/>
      <c r="AL921"/>
      <c r="AM921"/>
      <c r="AN921"/>
      <c r="AO921"/>
      <c r="AP921"/>
      <c r="AQ921"/>
      <c r="AR921"/>
      <c r="AS921"/>
      <c r="AT921"/>
      <c r="AU921"/>
      <c r="AV921"/>
      <c r="AW921"/>
      <c r="AX921"/>
      <c r="AY921"/>
      <c r="AZ921"/>
      <c r="BA921"/>
      <c r="BB921"/>
      <c r="BC921"/>
      <c r="BD921"/>
      <c r="BE921"/>
      <c r="BF921"/>
      <c r="BG921"/>
      <c r="BH921"/>
      <c r="BI921"/>
      <c r="BJ921"/>
      <c r="BK921"/>
      <c r="BL921"/>
      <c r="BM921"/>
      <c r="BN921"/>
      <c r="BO921"/>
      <c r="BP921"/>
      <c r="BQ921"/>
      <c r="BR921"/>
      <c r="BS921"/>
      <c r="BT921"/>
      <c r="BU921"/>
      <c r="BV921"/>
      <c r="BW921"/>
      <c r="BX921"/>
      <c r="BY921"/>
      <c r="BZ921"/>
    </row>
    <row r="922" spans="4:78" x14ac:dyDescent="0.25">
      <c r="D922"/>
      <c r="E922"/>
      <c r="F922"/>
      <c r="G922"/>
      <c r="H922"/>
      <c r="I922"/>
      <c r="J922"/>
      <c r="K922"/>
      <c r="L922"/>
      <c r="M922"/>
      <c r="N922"/>
      <c r="O922"/>
      <c r="P922"/>
      <c r="Q922"/>
      <c r="R922"/>
      <c r="S922"/>
      <c r="T922"/>
      <c r="U922"/>
      <c r="V922"/>
      <c r="W922"/>
      <c r="X922"/>
      <c r="Y922"/>
      <c r="Z922"/>
      <c r="AA922"/>
      <c r="AB922"/>
      <c r="AC922"/>
      <c r="AD922"/>
      <c r="AE922"/>
      <c r="AF922"/>
      <c r="AG922"/>
      <c r="AH922"/>
      <c r="AI922"/>
      <c r="AJ922"/>
      <c r="AK922"/>
      <c r="AL922"/>
      <c r="AM922"/>
      <c r="AN922"/>
      <c r="AO922"/>
      <c r="AP922"/>
      <c r="AQ922"/>
      <c r="AR922"/>
      <c r="AS922"/>
      <c r="AT922"/>
      <c r="AU922"/>
      <c r="AV922"/>
      <c r="AW922"/>
      <c r="AX922"/>
      <c r="AY922"/>
      <c r="AZ922"/>
      <c r="BA922"/>
      <c r="BB922"/>
      <c r="BC922"/>
      <c r="BD922"/>
      <c r="BE922"/>
      <c r="BF922"/>
      <c r="BG922"/>
      <c r="BH922"/>
      <c r="BI922"/>
      <c r="BJ922"/>
      <c r="BK922"/>
      <c r="BL922"/>
      <c r="BM922"/>
      <c r="BN922"/>
      <c r="BO922"/>
      <c r="BP922"/>
      <c r="BQ922"/>
      <c r="BR922"/>
      <c r="BS922"/>
      <c r="BT922"/>
      <c r="BU922"/>
      <c r="BV922"/>
      <c r="BW922"/>
      <c r="BX922"/>
      <c r="BY922"/>
      <c r="BZ922"/>
    </row>
    <row r="923" spans="4:78" x14ac:dyDescent="0.25">
      <c r="D923"/>
      <c r="E923"/>
      <c r="F923"/>
      <c r="G923"/>
      <c r="H923"/>
      <c r="I923"/>
      <c r="J923"/>
      <c r="K923"/>
      <c r="L923"/>
      <c r="M923"/>
      <c r="N923"/>
      <c r="O923"/>
      <c r="P923"/>
      <c r="Q923"/>
      <c r="R923"/>
      <c r="S923"/>
      <c r="T923"/>
      <c r="U923"/>
      <c r="V923"/>
      <c r="W923"/>
      <c r="X923"/>
      <c r="Y923"/>
      <c r="Z923"/>
      <c r="AA923"/>
      <c r="AB923"/>
      <c r="AC923"/>
      <c r="AD923"/>
      <c r="AE923"/>
      <c r="AF923"/>
      <c r="AG923"/>
      <c r="AH923"/>
      <c r="AI923"/>
      <c r="AJ923"/>
      <c r="AK923"/>
      <c r="AL923"/>
      <c r="AM923"/>
      <c r="AN923"/>
      <c r="AO923"/>
      <c r="AP923"/>
      <c r="AQ923"/>
      <c r="AR923"/>
      <c r="AS923"/>
      <c r="AT923"/>
      <c r="AU923"/>
      <c r="AV923"/>
      <c r="AW923"/>
      <c r="AX923"/>
      <c r="AY923"/>
      <c r="AZ923"/>
      <c r="BA923"/>
      <c r="BB923"/>
      <c r="BC923"/>
      <c r="BD923"/>
      <c r="BE923"/>
      <c r="BF923"/>
      <c r="BG923"/>
      <c r="BH923"/>
      <c r="BI923"/>
      <c r="BJ923"/>
      <c r="BK923"/>
      <c r="BL923"/>
      <c r="BM923"/>
      <c r="BN923"/>
      <c r="BO923"/>
      <c r="BP923"/>
      <c r="BQ923"/>
      <c r="BR923"/>
      <c r="BS923"/>
      <c r="BT923"/>
      <c r="BU923"/>
      <c r="BV923"/>
      <c r="BW923"/>
      <c r="BX923"/>
      <c r="BY923"/>
      <c r="BZ923"/>
    </row>
    <row r="924" spans="4:78" x14ac:dyDescent="0.25">
      <c r="D924"/>
      <c r="E924"/>
      <c r="F924"/>
      <c r="G924"/>
      <c r="H924"/>
      <c r="I924"/>
      <c r="J924"/>
      <c r="K924"/>
      <c r="L924"/>
      <c r="M924"/>
      <c r="N924"/>
      <c r="O924"/>
      <c r="P924"/>
      <c r="Q924"/>
      <c r="R924"/>
      <c r="S924"/>
      <c r="T924"/>
      <c r="U924"/>
      <c r="V924"/>
      <c r="W924"/>
      <c r="X924"/>
      <c r="Y924"/>
      <c r="Z924"/>
      <c r="AA924"/>
      <c r="AB924"/>
      <c r="AC924"/>
      <c r="AD924"/>
      <c r="AE924"/>
      <c r="AF924"/>
      <c r="AG924"/>
      <c r="AH924"/>
      <c r="AI924"/>
      <c r="AJ924"/>
      <c r="AK924"/>
      <c r="AL924"/>
      <c r="AM924"/>
      <c r="AN924"/>
      <c r="AO924"/>
      <c r="AP924"/>
      <c r="AQ924"/>
      <c r="AR924"/>
      <c r="AS924"/>
      <c r="AT924"/>
      <c r="AU924"/>
      <c r="AV924"/>
      <c r="AW924"/>
      <c r="AX924"/>
      <c r="AY924"/>
      <c r="AZ924"/>
      <c r="BA924"/>
      <c r="BB924"/>
      <c r="BC924"/>
      <c r="BD924"/>
      <c r="BE924"/>
      <c r="BF924"/>
      <c r="BG924"/>
      <c r="BH924"/>
      <c r="BI924"/>
      <c r="BJ924"/>
      <c r="BK924"/>
      <c r="BL924"/>
      <c r="BM924"/>
      <c r="BN924"/>
      <c r="BO924"/>
      <c r="BP924"/>
      <c r="BQ924"/>
      <c r="BR924"/>
      <c r="BS924"/>
      <c r="BT924"/>
      <c r="BU924"/>
      <c r="BV924"/>
      <c r="BW924"/>
      <c r="BX924"/>
      <c r="BY924"/>
      <c r="BZ924"/>
    </row>
    <row r="925" spans="4:78" x14ac:dyDescent="0.25">
      <c r="D925"/>
      <c r="E925"/>
      <c r="F925"/>
      <c r="G925"/>
      <c r="H925"/>
      <c r="I925"/>
      <c r="J925"/>
      <c r="K925"/>
      <c r="L925"/>
      <c r="M925"/>
      <c r="N925"/>
      <c r="O925"/>
      <c r="P925"/>
      <c r="Q925"/>
      <c r="R925"/>
      <c r="S925"/>
      <c r="T925"/>
      <c r="U925"/>
      <c r="V925"/>
      <c r="W925"/>
      <c r="X925"/>
      <c r="Y925"/>
      <c r="Z925"/>
      <c r="AA925"/>
      <c r="AB925"/>
      <c r="AC925"/>
      <c r="AD925"/>
      <c r="AE925"/>
      <c r="AF925"/>
      <c r="AG925"/>
      <c r="AH925"/>
      <c r="AI925"/>
      <c r="AJ925"/>
      <c r="AK925"/>
      <c r="AL925"/>
      <c r="AM925"/>
      <c r="AN925"/>
      <c r="AO925"/>
      <c r="AP925"/>
      <c r="AQ925"/>
      <c r="AR925"/>
      <c r="AS925"/>
      <c r="AT925"/>
      <c r="AU925"/>
      <c r="AV925"/>
      <c r="AW925"/>
      <c r="AX925"/>
      <c r="AY925"/>
      <c r="AZ925"/>
      <c r="BA925"/>
      <c r="BB925"/>
      <c r="BC925"/>
      <c r="BD925"/>
      <c r="BE925"/>
      <c r="BF925"/>
      <c r="BG925"/>
      <c r="BH925"/>
      <c r="BI925"/>
      <c r="BJ925"/>
      <c r="BK925"/>
      <c r="BL925"/>
      <c r="BM925"/>
      <c r="BN925"/>
      <c r="BO925"/>
      <c r="BP925"/>
      <c r="BQ925"/>
      <c r="BR925"/>
      <c r="BS925"/>
      <c r="BT925"/>
      <c r="BU925"/>
      <c r="BV925"/>
      <c r="BW925"/>
      <c r="BX925"/>
      <c r="BY925"/>
      <c r="BZ925"/>
    </row>
    <row r="926" spans="4:78" x14ac:dyDescent="0.25">
      <c r="D926"/>
      <c r="E926"/>
      <c r="F926"/>
      <c r="G926"/>
      <c r="H926"/>
      <c r="I926"/>
      <c r="J926"/>
      <c r="K926"/>
      <c r="L926"/>
      <c r="M926"/>
      <c r="N926"/>
      <c r="O926"/>
      <c r="P926"/>
      <c r="Q926"/>
      <c r="R926"/>
      <c r="S926"/>
      <c r="T926"/>
      <c r="U926"/>
      <c r="V926"/>
      <c r="W926"/>
      <c r="X926"/>
      <c r="Y926"/>
      <c r="Z926"/>
      <c r="AA926"/>
      <c r="AB926"/>
      <c r="AC926"/>
      <c r="AD926"/>
      <c r="AE926"/>
      <c r="AF926"/>
      <c r="AG926"/>
      <c r="AH926"/>
      <c r="AI926"/>
      <c r="AJ926"/>
      <c r="AK926"/>
      <c r="AL926"/>
      <c r="AM926"/>
      <c r="AN926"/>
      <c r="AO926"/>
      <c r="AP926"/>
      <c r="AQ926"/>
      <c r="AR926"/>
      <c r="AS926"/>
      <c r="AT926"/>
      <c r="AU926"/>
      <c r="AV926"/>
      <c r="AW926"/>
      <c r="AX926"/>
      <c r="AY926"/>
      <c r="AZ926"/>
      <c r="BA926"/>
      <c r="BB926"/>
      <c r="BC926"/>
      <c r="BD926"/>
      <c r="BE926"/>
      <c r="BF926"/>
      <c r="BG926"/>
      <c r="BH926"/>
      <c r="BI926"/>
      <c r="BJ926"/>
      <c r="BK926"/>
      <c r="BL926"/>
      <c r="BM926"/>
      <c r="BN926"/>
      <c r="BO926"/>
      <c r="BP926"/>
      <c r="BQ926"/>
      <c r="BR926"/>
      <c r="BS926"/>
      <c r="BT926"/>
      <c r="BU926"/>
      <c r="BV926"/>
      <c r="BW926"/>
      <c r="BX926"/>
      <c r="BY926"/>
      <c r="BZ926"/>
    </row>
    <row r="927" spans="4:78" x14ac:dyDescent="0.25">
      <c r="D927"/>
      <c r="E927"/>
      <c r="F927"/>
      <c r="G927"/>
      <c r="H927"/>
      <c r="I927"/>
      <c r="J927"/>
      <c r="K927"/>
      <c r="L927"/>
      <c r="M927"/>
      <c r="N927"/>
      <c r="O927"/>
      <c r="P927"/>
      <c r="Q927"/>
      <c r="R927"/>
      <c r="S927"/>
      <c r="T927"/>
      <c r="U927"/>
      <c r="V927"/>
      <c r="W927"/>
      <c r="X927"/>
      <c r="Y927"/>
      <c r="Z927"/>
      <c r="AA927"/>
      <c r="AB927"/>
      <c r="AC927"/>
      <c r="AD927"/>
      <c r="AE927"/>
      <c r="AF927"/>
      <c r="AG927"/>
      <c r="AH927"/>
      <c r="AI927"/>
      <c r="AJ927"/>
      <c r="AK927"/>
      <c r="AL927"/>
      <c r="AM927"/>
      <c r="AN927"/>
      <c r="AO927"/>
      <c r="AP927"/>
      <c r="AQ927"/>
      <c r="AR927"/>
      <c r="AS927"/>
      <c r="AT927"/>
      <c r="AU927"/>
      <c r="AV927"/>
      <c r="AW927"/>
      <c r="AX927"/>
      <c r="AY927"/>
      <c r="AZ927"/>
      <c r="BA927"/>
      <c r="BB927"/>
      <c r="BC927"/>
      <c r="BD927"/>
      <c r="BE927"/>
      <c r="BF927"/>
      <c r="BG927"/>
      <c r="BH927"/>
      <c r="BI927"/>
      <c r="BJ927"/>
      <c r="BK927"/>
      <c r="BL927"/>
      <c r="BM927"/>
      <c r="BN927"/>
      <c r="BO927"/>
      <c r="BP927"/>
      <c r="BQ927"/>
      <c r="BR927"/>
      <c r="BS927"/>
      <c r="BT927"/>
      <c r="BU927"/>
      <c r="BV927"/>
      <c r="BW927"/>
      <c r="BX927"/>
      <c r="BY927"/>
      <c r="BZ927"/>
    </row>
    <row r="928" spans="4:78" x14ac:dyDescent="0.25">
      <c r="D928"/>
      <c r="E928"/>
      <c r="F928"/>
      <c r="G928"/>
      <c r="H928"/>
      <c r="I928"/>
      <c r="J928"/>
      <c r="K928"/>
      <c r="L928"/>
      <c r="M928"/>
      <c r="N928"/>
      <c r="O928"/>
      <c r="P928"/>
      <c r="Q928"/>
      <c r="R928"/>
      <c r="S928"/>
      <c r="T928"/>
      <c r="U928"/>
      <c r="V928"/>
      <c r="W928"/>
      <c r="X928"/>
      <c r="Y928"/>
      <c r="Z928"/>
      <c r="AA928"/>
      <c r="AB928"/>
      <c r="AC928"/>
      <c r="AD928"/>
      <c r="AE928"/>
      <c r="AF928"/>
      <c r="AG928"/>
      <c r="AH928"/>
      <c r="AI928"/>
      <c r="AJ928"/>
      <c r="AK928"/>
      <c r="AL928"/>
      <c r="AM928"/>
      <c r="AN928"/>
      <c r="AO928"/>
      <c r="AP928"/>
      <c r="AQ928"/>
      <c r="AR928"/>
      <c r="AS928"/>
      <c r="AT928"/>
      <c r="AU928"/>
      <c r="AV928"/>
      <c r="AW928"/>
      <c r="AX928"/>
      <c r="AY928"/>
      <c r="AZ928"/>
      <c r="BA928"/>
      <c r="BB928"/>
      <c r="BC928"/>
      <c r="BD928"/>
      <c r="BE928"/>
      <c r="BF928"/>
      <c r="BG928"/>
      <c r="BH928"/>
      <c r="BI928"/>
      <c r="BJ928"/>
      <c r="BK928"/>
      <c r="BL928"/>
      <c r="BM928"/>
      <c r="BN928"/>
      <c r="BO928"/>
      <c r="BP928"/>
      <c r="BQ928"/>
      <c r="BR928"/>
      <c r="BS928"/>
      <c r="BT928"/>
      <c r="BU928"/>
      <c r="BV928"/>
      <c r="BW928"/>
      <c r="BX928"/>
      <c r="BY928"/>
      <c r="BZ928"/>
    </row>
    <row r="929" spans="4:78" x14ac:dyDescent="0.25">
      <c r="D929"/>
      <c r="E929"/>
      <c r="F929"/>
      <c r="G929"/>
      <c r="H929"/>
      <c r="I929"/>
      <c r="J929"/>
      <c r="K929"/>
      <c r="L929"/>
      <c r="M929"/>
      <c r="N929"/>
      <c r="O929"/>
      <c r="P929"/>
      <c r="Q929"/>
      <c r="R929"/>
      <c r="S929"/>
      <c r="T929"/>
      <c r="U929"/>
      <c r="V929"/>
      <c r="W929"/>
      <c r="X929"/>
      <c r="Y929"/>
      <c r="Z929"/>
      <c r="AA929"/>
      <c r="AB929"/>
      <c r="AC929"/>
      <c r="AD929"/>
      <c r="AE929"/>
      <c r="AF929"/>
      <c r="AG929"/>
      <c r="AH929"/>
      <c r="AI929"/>
      <c r="AJ929"/>
      <c r="AK929"/>
      <c r="AL929"/>
      <c r="AM929"/>
      <c r="AN929"/>
      <c r="AO929"/>
      <c r="AP929"/>
      <c r="AQ929"/>
      <c r="AR929"/>
      <c r="AS929"/>
      <c r="AT929"/>
      <c r="AU929"/>
      <c r="AV929"/>
      <c r="AW929"/>
      <c r="AX929"/>
      <c r="AY929"/>
      <c r="AZ929"/>
      <c r="BA929"/>
      <c r="BB929"/>
      <c r="BC929"/>
      <c r="BD929"/>
      <c r="BE929"/>
      <c r="BF929"/>
      <c r="BG929"/>
      <c r="BH929"/>
      <c r="BI929"/>
      <c r="BJ929"/>
      <c r="BK929"/>
      <c r="BL929"/>
      <c r="BM929"/>
      <c r="BN929"/>
      <c r="BO929"/>
      <c r="BP929"/>
      <c r="BQ929"/>
      <c r="BR929"/>
      <c r="BS929"/>
      <c r="BT929"/>
      <c r="BU929"/>
      <c r="BV929"/>
      <c r="BW929"/>
      <c r="BX929"/>
      <c r="BY929"/>
      <c r="BZ929"/>
    </row>
    <row r="930" spans="4:78" x14ac:dyDescent="0.25">
      <c r="D930"/>
      <c r="E930"/>
      <c r="F930"/>
      <c r="G930"/>
      <c r="H930"/>
      <c r="I930"/>
      <c r="J930"/>
      <c r="K930"/>
      <c r="L930"/>
      <c r="M930"/>
      <c r="N930"/>
      <c r="O930"/>
      <c r="P930"/>
      <c r="Q930"/>
      <c r="R930"/>
      <c r="S930"/>
      <c r="T930"/>
      <c r="U930"/>
      <c r="V930"/>
      <c r="W930"/>
      <c r="X930"/>
      <c r="Y930"/>
      <c r="Z930"/>
      <c r="AA930"/>
      <c r="AB930"/>
      <c r="AC930"/>
      <c r="AD930"/>
      <c r="AE930"/>
      <c r="AF930"/>
      <c r="AG930"/>
      <c r="AH930"/>
      <c r="AI930"/>
      <c r="AJ930"/>
      <c r="AK930"/>
      <c r="AL930"/>
      <c r="AM930"/>
      <c r="AN930"/>
      <c r="AO930"/>
      <c r="AP930"/>
      <c r="AQ930"/>
      <c r="AR930"/>
      <c r="AS930"/>
      <c r="AT930"/>
      <c r="AU930"/>
      <c r="AV930"/>
      <c r="AW930"/>
      <c r="AX930"/>
      <c r="AY930"/>
      <c r="AZ930"/>
      <c r="BA930"/>
      <c r="BB930"/>
      <c r="BC930"/>
      <c r="BD930"/>
      <c r="BE930"/>
      <c r="BF930"/>
      <c r="BG930"/>
      <c r="BH930"/>
      <c r="BI930"/>
      <c r="BJ930"/>
      <c r="BK930"/>
      <c r="BL930"/>
      <c r="BM930"/>
      <c r="BN930"/>
      <c r="BO930"/>
      <c r="BP930"/>
      <c r="BQ930"/>
      <c r="BR930"/>
      <c r="BS930"/>
      <c r="BT930"/>
      <c r="BU930"/>
      <c r="BV930"/>
      <c r="BW930"/>
      <c r="BX930"/>
      <c r="BY930"/>
      <c r="BZ930"/>
    </row>
    <row r="931" spans="4:78" x14ac:dyDescent="0.25">
      <c r="D931"/>
      <c r="E931"/>
      <c r="F931"/>
      <c r="G931"/>
      <c r="H931"/>
      <c r="I931"/>
      <c r="J931"/>
      <c r="K931"/>
      <c r="L931"/>
      <c r="M931"/>
      <c r="N931"/>
      <c r="O931"/>
      <c r="P931"/>
      <c r="Q931"/>
      <c r="R931"/>
      <c r="S931"/>
      <c r="T931"/>
      <c r="U931"/>
      <c r="V931"/>
      <c r="W931"/>
      <c r="X931"/>
      <c r="Y931"/>
      <c r="Z931"/>
      <c r="AA931"/>
      <c r="AB931"/>
      <c r="AC931"/>
      <c r="AD931"/>
      <c r="AE931"/>
      <c r="AF931"/>
      <c r="AG931"/>
      <c r="AH931"/>
      <c r="AI931"/>
      <c r="AJ931"/>
      <c r="AK931"/>
      <c r="AL931"/>
      <c r="AM931"/>
      <c r="AN931"/>
      <c r="AO931"/>
      <c r="AP931"/>
      <c r="AQ931"/>
      <c r="AR931"/>
      <c r="AS931"/>
      <c r="AT931"/>
      <c r="AU931"/>
      <c r="AV931"/>
      <c r="AW931"/>
      <c r="AX931"/>
      <c r="AY931"/>
      <c r="AZ931"/>
      <c r="BA931"/>
      <c r="BB931"/>
      <c r="BC931"/>
      <c r="BD931"/>
      <c r="BE931"/>
      <c r="BF931"/>
      <c r="BG931"/>
      <c r="BH931"/>
      <c r="BI931"/>
      <c r="BJ931"/>
      <c r="BK931"/>
      <c r="BL931"/>
      <c r="BM931"/>
      <c r="BN931"/>
      <c r="BO931"/>
      <c r="BP931"/>
      <c r="BQ931"/>
      <c r="BR931"/>
      <c r="BS931"/>
      <c r="BT931"/>
      <c r="BU931"/>
      <c r="BV931"/>
      <c r="BW931"/>
      <c r="BX931"/>
      <c r="BY931"/>
      <c r="BZ931"/>
    </row>
    <row r="932" spans="4:78" x14ac:dyDescent="0.25">
      <c r="D932"/>
      <c r="E932"/>
      <c r="F932"/>
      <c r="G932"/>
      <c r="H932"/>
      <c r="I932"/>
      <c r="J932"/>
      <c r="K932"/>
      <c r="L932"/>
      <c r="M932"/>
      <c r="N932"/>
      <c r="O932"/>
      <c r="P932"/>
      <c r="Q932"/>
      <c r="R932"/>
      <c r="S932"/>
      <c r="T932"/>
      <c r="U932"/>
      <c r="V932"/>
      <c r="W932"/>
      <c r="X932"/>
      <c r="Y932"/>
      <c r="Z932"/>
      <c r="AA932"/>
      <c r="AB932"/>
      <c r="AC932"/>
      <c r="AD932"/>
      <c r="AE932"/>
      <c r="AF932"/>
      <c r="AG932"/>
      <c r="AH932"/>
      <c r="AI932"/>
      <c r="AJ932"/>
      <c r="AK932"/>
      <c r="AL932"/>
      <c r="AM932"/>
      <c r="AN932"/>
      <c r="AO932"/>
      <c r="AP932"/>
      <c r="AQ932"/>
      <c r="AR932"/>
      <c r="AS932"/>
      <c r="AT932"/>
      <c r="AU932"/>
      <c r="AV932"/>
      <c r="AW932"/>
      <c r="AX932"/>
      <c r="AY932"/>
      <c r="AZ932"/>
      <c r="BA932"/>
      <c r="BB932"/>
      <c r="BC932"/>
      <c r="BD932"/>
      <c r="BE932"/>
      <c r="BF932"/>
      <c r="BG932"/>
      <c r="BH932"/>
      <c r="BI932"/>
      <c r="BJ932"/>
      <c r="BK932"/>
      <c r="BL932"/>
      <c r="BM932"/>
      <c r="BN932"/>
      <c r="BO932"/>
      <c r="BP932"/>
      <c r="BQ932"/>
      <c r="BR932"/>
      <c r="BS932"/>
      <c r="BT932"/>
      <c r="BU932"/>
      <c r="BV932"/>
      <c r="BW932"/>
      <c r="BX932"/>
      <c r="BY932"/>
      <c r="BZ932"/>
    </row>
    <row r="933" spans="4:78" x14ac:dyDescent="0.25">
      <c r="D933"/>
      <c r="E933"/>
      <c r="F933"/>
      <c r="G933"/>
      <c r="H933"/>
      <c r="I933"/>
      <c r="J933"/>
      <c r="K933"/>
      <c r="L933"/>
      <c r="M933"/>
      <c r="N933"/>
      <c r="O933"/>
      <c r="P933"/>
      <c r="Q933"/>
      <c r="R933"/>
      <c r="S933"/>
      <c r="T933"/>
      <c r="U933"/>
      <c r="V933"/>
      <c r="W933"/>
      <c r="X933"/>
      <c r="Y933"/>
      <c r="Z933"/>
      <c r="AA933"/>
      <c r="AB933"/>
      <c r="AC933"/>
      <c r="AD933"/>
      <c r="AE933"/>
      <c r="AF933"/>
      <c r="AG933"/>
      <c r="AH933"/>
      <c r="AI933"/>
      <c r="AJ933"/>
      <c r="AK933"/>
      <c r="AL933"/>
      <c r="AM933"/>
      <c r="AN933"/>
      <c r="AO933"/>
      <c r="AP933"/>
      <c r="AQ933"/>
      <c r="AR933"/>
      <c r="AS933"/>
      <c r="AT933"/>
      <c r="AU933"/>
      <c r="AV933"/>
      <c r="AW933"/>
      <c r="AX933"/>
      <c r="AY933"/>
      <c r="AZ933"/>
      <c r="BA933"/>
      <c r="BB933"/>
      <c r="BC933"/>
      <c r="BD933"/>
      <c r="BE933"/>
      <c r="BF933"/>
      <c r="BG933"/>
      <c r="BH933"/>
      <c r="BI933"/>
      <c r="BJ933"/>
      <c r="BK933"/>
      <c r="BL933"/>
      <c r="BM933"/>
      <c r="BN933"/>
      <c r="BO933"/>
      <c r="BP933"/>
      <c r="BQ933"/>
      <c r="BR933"/>
      <c r="BS933"/>
      <c r="BT933"/>
      <c r="BU933"/>
      <c r="BV933"/>
      <c r="BW933"/>
      <c r="BX933"/>
      <c r="BY933"/>
      <c r="BZ933"/>
    </row>
    <row r="934" spans="4:78" x14ac:dyDescent="0.25">
      <c r="D934"/>
      <c r="E934"/>
      <c r="F934"/>
      <c r="G934"/>
      <c r="H934"/>
      <c r="I934"/>
      <c r="J934"/>
      <c r="K934"/>
      <c r="L934"/>
      <c r="M934"/>
      <c r="N934"/>
      <c r="O934"/>
      <c r="P934"/>
      <c r="Q934"/>
      <c r="R934"/>
      <c r="S934"/>
      <c r="T934"/>
      <c r="U934"/>
      <c r="V934"/>
      <c r="W934"/>
      <c r="X934"/>
      <c r="Y934"/>
      <c r="Z934"/>
      <c r="AA934"/>
      <c r="AB934"/>
      <c r="AC934"/>
      <c r="AD934"/>
      <c r="AE934"/>
      <c r="AF934"/>
      <c r="AG934"/>
      <c r="AH934"/>
      <c r="AI934"/>
      <c r="AJ934"/>
      <c r="AK934"/>
      <c r="AL934"/>
      <c r="AM934"/>
      <c r="AN934"/>
      <c r="AO934"/>
      <c r="AP934"/>
      <c r="AQ934"/>
      <c r="AR934"/>
      <c r="AS934"/>
      <c r="AT934"/>
      <c r="AU934"/>
      <c r="AV934"/>
      <c r="AW934"/>
      <c r="AX934"/>
      <c r="AY934"/>
      <c r="AZ934"/>
      <c r="BA934"/>
      <c r="BB934"/>
      <c r="BC934"/>
      <c r="BD934"/>
      <c r="BE934"/>
      <c r="BF934"/>
      <c r="BG934"/>
      <c r="BH934"/>
      <c r="BI934"/>
      <c r="BJ934"/>
      <c r="BK934"/>
      <c r="BL934"/>
      <c r="BM934"/>
      <c r="BN934"/>
      <c r="BO934"/>
      <c r="BP934"/>
      <c r="BQ934"/>
      <c r="BR934"/>
      <c r="BS934"/>
      <c r="BT934"/>
      <c r="BU934"/>
      <c r="BV934"/>
      <c r="BW934"/>
      <c r="BX934"/>
      <c r="BY934"/>
      <c r="BZ934"/>
    </row>
    <row r="935" spans="4:78" x14ac:dyDescent="0.25">
      <c r="D935"/>
      <c r="E935"/>
      <c r="F935"/>
      <c r="G935"/>
      <c r="H935"/>
      <c r="I935"/>
      <c r="J935"/>
      <c r="K935"/>
      <c r="L935"/>
      <c r="M935"/>
      <c r="N935"/>
      <c r="O935"/>
      <c r="P935"/>
      <c r="Q935"/>
      <c r="R935"/>
      <c r="S935"/>
      <c r="T935"/>
      <c r="U935"/>
      <c r="V935"/>
      <c r="W935"/>
      <c r="X935"/>
      <c r="Y935"/>
      <c r="Z935"/>
      <c r="AA935"/>
      <c r="AB935"/>
      <c r="AC935"/>
      <c r="AD935"/>
      <c r="AE935"/>
      <c r="AF935"/>
      <c r="AG935"/>
      <c r="AH935"/>
      <c r="AI935"/>
      <c r="AJ935"/>
      <c r="AK935"/>
      <c r="AL935"/>
      <c r="AM935"/>
      <c r="AN935"/>
      <c r="AO935"/>
      <c r="AP935"/>
      <c r="AQ935"/>
      <c r="AR935"/>
      <c r="AS935"/>
      <c r="AT935"/>
      <c r="AU935"/>
      <c r="AV935"/>
      <c r="AW935"/>
      <c r="AX935"/>
      <c r="AY935"/>
      <c r="AZ935"/>
      <c r="BA935"/>
      <c r="BB935"/>
      <c r="BC935"/>
      <c r="BD935"/>
      <c r="BE935"/>
      <c r="BF935"/>
      <c r="BG935"/>
      <c r="BH935"/>
      <c r="BI935"/>
      <c r="BJ935"/>
      <c r="BK935"/>
      <c r="BL935"/>
      <c r="BM935"/>
      <c r="BN935"/>
      <c r="BO935"/>
      <c r="BP935"/>
      <c r="BQ935"/>
      <c r="BR935"/>
      <c r="BS935"/>
      <c r="BT935"/>
      <c r="BU935"/>
      <c r="BV935"/>
      <c r="BW935"/>
      <c r="BX935"/>
      <c r="BY935"/>
      <c r="BZ935"/>
    </row>
    <row r="936" spans="4:78" x14ac:dyDescent="0.25">
      <c r="D936"/>
      <c r="E936"/>
      <c r="F936"/>
      <c r="G936"/>
      <c r="H936"/>
      <c r="I936"/>
      <c r="J936"/>
      <c r="K936"/>
      <c r="L936"/>
      <c r="M936"/>
      <c r="N936"/>
      <c r="O936"/>
      <c r="P936"/>
      <c r="Q936"/>
      <c r="R936"/>
      <c r="S936"/>
      <c r="T936"/>
      <c r="U936"/>
      <c r="V936"/>
      <c r="W936"/>
      <c r="X936"/>
      <c r="Y936"/>
      <c r="Z936"/>
      <c r="AA936"/>
      <c r="AB936"/>
      <c r="AC936"/>
      <c r="AD936"/>
      <c r="AE936"/>
      <c r="AF936"/>
      <c r="AG936"/>
      <c r="AH936"/>
      <c r="AI936"/>
      <c r="AJ936"/>
      <c r="AK936"/>
      <c r="AL936"/>
      <c r="AM936"/>
      <c r="AN936"/>
      <c r="AO936"/>
      <c r="AP936"/>
      <c r="AQ936"/>
      <c r="AR936"/>
      <c r="AS936"/>
      <c r="AT936"/>
      <c r="AU936"/>
      <c r="AV936"/>
      <c r="AW936"/>
      <c r="AX936"/>
      <c r="AY936"/>
      <c r="AZ936"/>
      <c r="BA936"/>
      <c r="BB936"/>
      <c r="BC936"/>
      <c r="BD936"/>
      <c r="BE936"/>
      <c r="BF936"/>
      <c r="BG936"/>
      <c r="BH936"/>
      <c r="BI936"/>
      <c r="BJ936"/>
      <c r="BK936"/>
      <c r="BL936"/>
      <c r="BM936"/>
      <c r="BN936"/>
      <c r="BO936"/>
      <c r="BP936"/>
      <c r="BQ936"/>
      <c r="BR936"/>
      <c r="BS936"/>
      <c r="BT936"/>
      <c r="BU936"/>
      <c r="BV936"/>
      <c r="BW936"/>
      <c r="BX936"/>
      <c r="BY936"/>
      <c r="BZ936"/>
    </row>
    <row r="937" spans="4:78" x14ac:dyDescent="0.25">
      <c r="D937"/>
      <c r="E937"/>
      <c r="F937"/>
      <c r="G937"/>
      <c r="H937"/>
      <c r="I937"/>
      <c r="J937"/>
      <c r="K937"/>
      <c r="L937"/>
      <c r="M937"/>
      <c r="N937"/>
      <c r="O937"/>
      <c r="P937"/>
      <c r="Q937"/>
      <c r="R937"/>
      <c r="S937"/>
      <c r="T937"/>
      <c r="U937"/>
      <c r="V937"/>
      <c r="W937"/>
      <c r="X937"/>
      <c r="Y937"/>
      <c r="Z937"/>
      <c r="AA937"/>
      <c r="AB937"/>
      <c r="AC937"/>
      <c r="AD937"/>
      <c r="AE937"/>
      <c r="AF937"/>
      <c r="AG937"/>
      <c r="AH937"/>
      <c r="AI937"/>
      <c r="AJ937"/>
      <c r="AK937"/>
      <c r="AL937"/>
      <c r="AM937"/>
      <c r="AN937"/>
      <c r="AO937"/>
      <c r="AP937"/>
      <c r="AQ937"/>
      <c r="AR937"/>
      <c r="AS937"/>
      <c r="AT937"/>
      <c r="AU937"/>
      <c r="AV937"/>
      <c r="AW937"/>
      <c r="AX937"/>
      <c r="AY937"/>
      <c r="AZ937"/>
      <c r="BA937"/>
      <c r="BB937"/>
      <c r="BC937"/>
      <c r="BD937"/>
      <c r="BE937"/>
      <c r="BF937"/>
      <c r="BG937"/>
      <c r="BH937"/>
      <c r="BI937"/>
      <c r="BJ937"/>
      <c r="BK937"/>
      <c r="BL937"/>
      <c r="BM937"/>
      <c r="BN937"/>
      <c r="BO937"/>
      <c r="BP937"/>
      <c r="BQ937"/>
      <c r="BR937"/>
      <c r="BS937"/>
      <c r="BT937"/>
      <c r="BU937"/>
      <c r="BV937"/>
      <c r="BW937"/>
      <c r="BX937"/>
      <c r="BY937"/>
      <c r="BZ937"/>
    </row>
    <row r="938" spans="4:78" x14ac:dyDescent="0.25">
      <c r="D938"/>
      <c r="E938"/>
      <c r="F938"/>
      <c r="G938"/>
      <c r="H938"/>
      <c r="I938"/>
      <c r="J938"/>
      <c r="K938"/>
      <c r="L938"/>
      <c r="M938"/>
      <c r="N938"/>
      <c r="O938"/>
      <c r="P938"/>
      <c r="Q938"/>
      <c r="R938"/>
      <c r="S938"/>
      <c r="T938"/>
      <c r="U938"/>
      <c r="V938"/>
      <c r="W938"/>
      <c r="X938"/>
      <c r="Y938"/>
      <c r="Z938"/>
      <c r="AA938"/>
      <c r="AB938"/>
      <c r="AC938"/>
      <c r="AD938"/>
      <c r="AE938"/>
      <c r="AF938"/>
      <c r="AG938"/>
      <c r="AH938"/>
      <c r="AI938"/>
      <c r="AJ938"/>
      <c r="AK938"/>
      <c r="AL938"/>
      <c r="AM938"/>
      <c r="AN938"/>
      <c r="AO938"/>
      <c r="AP938"/>
      <c r="AQ938"/>
      <c r="AR938"/>
      <c r="AS938"/>
      <c r="AT938"/>
      <c r="AU938"/>
      <c r="AV938"/>
      <c r="AW938"/>
      <c r="AX938"/>
      <c r="AY938"/>
      <c r="AZ938"/>
      <c r="BA938"/>
      <c r="BB938"/>
      <c r="BC938"/>
      <c r="BD938"/>
      <c r="BE938"/>
      <c r="BF938"/>
      <c r="BG938"/>
      <c r="BH938"/>
      <c r="BI938"/>
      <c r="BJ938"/>
      <c r="BK938"/>
      <c r="BL938"/>
      <c r="BM938"/>
      <c r="BN938"/>
      <c r="BO938"/>
      <c r="BP938"/>
      <c r="BQ938"/>
      <c r="BR938"/>
      <c r="BS938"/>
      <c r="BT938"/>
      <c r="BU938"/>
      <c r="BV938"/>
      <c r="BW938"/>
      <c r="BX938"/>
      <c r="BY938"/>
      <c r="BZ938"/>
    </row>
    <row r="939" spans="4:78" x14ac:dyDescent="0.25">
      <c r="D939"/>
      <c r="E939"/>
      <c r="F939"/>
      <c r="G939"/>
      <c r="H939"/>
      <c r="I939"/>
      <c r="J939"/>
      <c r="K939"/>
      <c r="L939"/>
      <c r="M939"/>
      <c r="N939"/>
      <c r="O939"/>
      <c r="P939"/>
      <c r="Q939"/>
      <c r="R939"/>
      <c r="S939"/>
      <c r="T939"/>
      <c r="U939"/>
      <c r="V939"/>
      <c r="W939"/>
      <c r="X939"/>
      <c r="Y939"/>
      <c r="Z939"/>
      <c r="AA939"/>
      <c r="AB939"/>
      <c r="AC939"/>
      <c r="AD939"/>
      <c r="AE939"/>
      <c r="AF939"/>
      <c r="AG939"/>
      <c r="AH939"/>
      <c r="AI939"/>
      <c r="AJ939"/>
      <c r="AK939"/>
      <c r="AL939"/>
      <c r="AM939"/>
      <c r="AN939"/>
      <c r="AO939"/>
      <c r="AP939"/>
      <c r="AQ939"/>
      <c r="AR939"/>
      <c r="AS939"/>
      <c r="AT939"/>
      <c r="AU939"/>
      <c r="AV939"/>
      <c r="AW939"/>
      <c r="AX939"/>
      <c r="AY939"/>
      <c r="AZ939"/>
      <c r="BA939"/>
      <c r="BB939"/>
      <c r="BC939"/>
      <c r="BD939"/>
      <c r="BE939"/>
      <c r="BF939"/>
      <c r="BG939"/>
      <c r="BH939"/>
      <c r="BI939"/>
      <c r="BJ939"/>
      <c r="BK939"/>
      <c r="BL939"/>
      <c r="BM939"/>
      <c r="BN939"/>
      <c r="BO939"/>
      <c r="BP939"/>
      <c r="BQ939"/>
      <c r="BR939"/>
      <c r="BS939"/>
      <c r="BT939"/>
      <c r="BU939"/>
      <c r="BV939"/>
      <c r="BW939"/>
      <c r="BX939"/>
      <c r="BY939"/>
      <c r="BZ939"/>
    </row>
    <row r="940" spans="4:78" x14ac:dyDescent="0.25">
      <c r="D940"/>
      <c r="E940"/>
      <c r="F940"/>
      <c r="G940"/>
      <c r="H940"/>
      <c r="I940"/>
      <c r="J940"/>
      <c r="K940"/>
      <c r="L940"/>
      <c r="M940"/>
      <c r="N940"/>
      <c r="O940"/>
      <c r="P940"/>
      <c r="Q940"/>
      <c r="R940"/>
      <c r="S940"/>
      <c r="T940"/>
      <c r="U940"/>
      <c r="V940"/>
      <c r="W940"/>
      <c r="X940"/>
      <c r="Y940"/>
      <c r="Z940"/>
      <c r="AA940"/>
      <c r="AB940"/>
      <c r="AC940"/>
      <c r="AD940"/>
      <c r="AE940"/>
      <c r="AF940"/>
      <c r="AG940"/>
      <c r="AH940"/>
      <c r="AI940"/>
      <c r="AJ940"/>
      <c r="AK940"/>
      <c r="AL940"/>
      <c r="AM940"/>
      <c r="AN940"/>
      <c r="AO940"/>
      <c r="AP940"/>
      <c r="AQ940"/>
      <c r="AR940"/>
      <c r="AS940"/>
      <c r="AT940"/>
      <c r="AU940"/>
      <c r="AV940"/>
      <c r="AW940"/>
      <c r="AX940"/>
      <c r="AY940"/>
      <c r="AZ940"/>
      <c r="BA940"/>
      <c r="BB940"/>
      <c r="BC940"/>
      <c r="BD940"/>
      <c r="BE940"/>
      <c r="BF940"/>
      <c r="BG940"/>
      <c r="BH940"/>
      <c r="BI940"/>
      <c r="BJ940"/>
      <c r="BK940"/>
      <c r="BL940"/>
      <c r="BM940"/>
      <c r="BN940"/>
      <c r="BO940"/>
      <c r="BP940"/>
      <c r="BQ940"/>
      <c r="BR940"/>
      <c r="BS940"/>
      <c r="BT940"/>
      <c r="BU940"/>
      <c r="BV940"/>
      <c r="BW940"/>
      <c r="BX940"/>
      <c r="BY940"/>
      <c r="BZ940"/>
    </row>
    <row r="941" spans="4:78" x14ac:dyDescent="0.25">
      <c r="D941"/>
      <c r="E941"/>
      <c r="F941"/>
      <c r="G941"/>
      <c r="H941"/>
      <c r="I941"/>
      <c r="J941"/>
      <c r="K941"/>
      <c r="L941"/>
      <c r="M941"/>
      <c r="N941"/>
      <c r="O941"/>
      <c r="P941"/>
      <c r="Q941"/>
      <c r="R941"/>
      <c r="S941"/>
      <c r="T941"/>
      <c r="U941"/>
      <c r="V941"/>
      <c r="W941"/>
      <c r="X941"/>
      <c r="Y941"/>
      <c r="Z941"/>
      <c r="AA941"/>
      <c r="AB941"/>
      <c r="AC941"/>
      <c r="AD941"/>
      <c r="AE941"/>
      <c r="AF941"/>
      <c r="AG941"/>
      <c r="AH941"/>
      <c r="AI941"/>
      <c r="AJ941"/>
      <c r="AK941"/>
      <c r="AL941"/>
      <c r="AM941"/>
      <c r="AN941"/>
      <c r="AO941"/>
      <c r="AP941"/>
      <c r="AQ941"/>
      <c r="AR941"/>
      <c r="AS941"/>
      <c r="AT941"/>
      <c r="AU941"/>
      <c r="AV941"/>
      <c r="AW941"/>
      <c r="AX941"/>
      <c r="AY941"/>
      <c r="AZ941"/>
      <c r="BA941"/>
      <c r="BB941"/>
      <c r="BC941"/>
      <c r="BD941"/>
      <c r="BE941"/>
      <c r="BF941"/>
      <c r="BG941"/>
      <c r="BH941"/>
      <c r="BI941"/>
      <c r="BJ941"/>
      <c r="BK941"/>
      <c r="BL941"/>
      <c r="BM941"/>
      <c r="BN941"/>
      <c r="BO941"/>
      <c r="BP941"/>
      <c r="BQ941"/>
      <c r="BR941"/>
      <c r="BS941"/>
      <c r="BT941"/>
      <c r="BU941"/>
      <c r="BV941"/>
      <c r="BW941"/>
      <c r="BX941"/>
      <c r="BY941"/>
      <c r="BZ941"/>
    </row>
    <row r="942" spans="4:78" x14ac:dyDescent="0.25">
      <c r="D942"/>
      <c r="E942"/>
      <c r="F942"/>
      <c r="G942"/>
      <c r="H942"/>
      <c r="I942"/>
      <c r="J942"/>
      <c r="K942"/>
      <c r="L942"/>
      <c r="M942"/>
      <c r="N942"/>
      <c r="O942"/>
      <c r="P942"/>
      <c r="Q942"/>
      <c r="R942"/>
      <c r="S942"/>
      <c r="T942"/>
      <c r="U942"/>
      <c r="V942"/>
      <c r="W942"/>
      <c r="X942"/>
      <c r="Y942"/>
      <c r="Z942"/>
      <c r="AA942"/>
      <c r="AB942"/>
      <c r="AC942"/>
      <c r="AD942"/>
      <c r="AE942"/>
      <c r="AF942"/>
      <c r="AG942"/>
      <c r="AH942"/>
      <c r="AI942"/>
      <c r="AJ942"/>
      <c r="AK942"/>
      <c r="AL942"/>
      <c r="AM942"/>
      <c r="AN942"/>
      <c r="AO942"/>
      <c r="AP942"/>
      <c r="AQ942"/>
      <c r="AR942"/>
      <c r="AS942"/>
      <c r="AT942"/>
      <c r="AU942"/>
      <c r="AV942"/>
      <c r="AW942"/>
      <c r="AX942"/>
      <c r="AY942"/>
      <c r="AZ942"/>
      <c r="BA942"/>
      <c r="BB942"/>
      <c r="BC942"/>
      <c r="BD942"/>
      <c r="BE942"/>
      <c r="BF942"/>
      <c r="BG942"/>
      <c r="BH942"/>
      <c r="BI942"/>
      <c r="BJ942"/>
      <c r="BK942"/>
      <c r="BL942"/>
      <c r="BM942"/>
      <c r="BN942"/>
      <c r="BO942"/>
      <c r="BP942"/>
      <c r="BQ942"/>
      <c r="BR942"/>
      <c r="BS942"/>
      <c r="BT942"/>
      <c r="BU942"/>
      <c r="BV942"/>
      <c r="BW942"/>
      <c r="BX942"/>
      <c r="BY942"/>
      <c r="BZ942"/>
    </row>
    <row r="943" spans="4:78" x14ac:dyDescent="0.25">
      <c r="D943"/>
      <c r="E943"/>
      <c r="F943"/>
      <c r="G943"/>
      <c r="H943"/>
      <c r="I943"/>
      <c r="J943"/>
      <c r="K943"/>
      <c r="L943"/>
      <c r="M943"/>
      <c r="N943"/>
      <c r="O943"/>
      <c r="P943"/>
      <c r="Q943"/>
      <c r="R943"/>
      <c r="S943"/>
      <c r="T943"/>
      <c r="U943"/>
      <c r="V943"/>
      <c r="W943"/>
      <c r="X943"/>
      <c r="Y943"/>
      <c r="Z943"/>
      <c r="AA943"/>
      <c r="AB943"/>
      <c r="AC943"/>
      <c r="AD943"/>
      <c r="AE943"/>
      <c r="AF943"/>
      <c r="AG943"/>
      <c r="AH943"/>
      <c r="AI943"/>
      <c r="AJ943"/>
      <c r="AK943"/>
      <c r="AL943"/>
      <c r="AM943"/>
      <c r="AN943"/>
      <c r="AO943"/>
      <c r="AP943"/>
      <c r="AQ943"/>
      <c r="AR943"/>
      <c r="AS943"/>
      <c r="AT943"/>
      <c r="AU943"/>
      <c r="AV943"/>
      <c r="AW943"/>
      <c r="AX943"/>
      <c r="AY943"/>
      <c r="AZ943"/>
      <c r="BA943"/>
      <c r="BB943"/>
      <c r="BC943"/>
      <c r="BD943"/>
      <c r="BE943"/>
      <c r="BF943"/>
      <c r="BG943"/>
      <c r="BH943"/>
      <c r="BI943"/>
      <c r="BJ943"/>
      <c r="BK943"/>
      <c r="BL943"/>
      <c r="BM943"/>
      <c r="BN943"/>
      <c r="BO943"/>
      <c r="BP943"/>
      <c r="BQ943"/>
      <c r="BR943"/>
      <c r="BS943"/>
      <c r="BT943"/>
      <c r="BU943"/>
      <c r="BV943"/>
      <c r="BW943"/>
      <c r="BX943"/>
      <c r="BY943"/>
      <c r="BZ943"/>
    </row>
    <row r="944" spans="4:78" x14ac:dyDescent="0.25">
      <c r="D944"/>
      <c r="E944"/>
      <c r="F944"/>
      <c r="G944"/>
      <c r="H944"/>
      <c r="I944"/>
      <c r="J944"/>
      <c r="K944"/>
      <c r="L944"/>
      <c r="M944"/>
      <c r="N944"/>
      <c r="O944"/>
      <c r="P944"/>
      <c r="Q944"/>
      <c r="R944"/>
      <c r="S944"/>
      <c r="T944"/>
      <c r="U944"/>
      <c r="V944"/>
      <c r="W944"/>
      <c r="X944"/>
      <c r="Y944"/>
      <c r="Z944"/>
      <c r="AA944"/>
      <c r="AB944"/>
      <c r="AC944"/>
      <c r="AD944"/>
      <c r="AE944"/>
      <c r="AF944"/>
      <c r="AG944"/>
      <c r="AH944"/>
      <c r="AI944"/>
      <c r="AJ944"/>
      <c r="AK944"/>
      <c r="AL944"/>
      <c r="AM944"/>
      <c r="AN944"/>
      <c r="AO944"/>
      <c r="AP944"/>
      <c r="AQ944"/>
      <c r="AR944"/>
      <c r="AS944"/>
      <c r="AT944"/>
      <c r="AU944"/>
      <c r="AV944"/>
      <c r="AW944"/>
      <c r="AX944"/>
      <c r="AY944"/>
      <c r="AZ944"/>
      <c r="BA944"/>
      <c r="BB944"/>
      <c r="BC944"/>
      <c r="BD944"/>
      <c r="BE944"/>
      <c r="BF944"/>
      <c r="BG944"/>
      <c r="BH944"/>
      <c r="BI944"/>
      <c r="BJ944"/>
      <c r="BK944"/>
      <c r="BL944"/>
      <c r="BM944"/>
      <c r="BN944"/>
      <c r="BO944"/>
      <c r="BP944"/>
      <c r="BQ944"/>
      <c r="BR944"/>
      <c r="BS944"/>
      <c r="BT944"/>
      <c r="BU944"/>
      <c r="BV944"/>
      <c r="BW944"/>
      <c r="BX944"/>
      <c r="BY944"/>
      <c r="BZ944"/>
    </row>
    <row r="945" spans="4:78" x14ac:dyDescent="0.25">
      <c r="D945"/>
      <c r="E945"/>
      <c r="F945"/>
      <c r="G945"/>
      <c r="H945"/>
      <c r="I945"/>
      <c r="J945"/>
      <c r="K945"/>
      <c r="L945"/>
      <c r="M945"/>
      <c r="N945"/>
      <c r="O945"/>
      <c r="P945"/>
      <c r="Q945"/>
      <c r="R945"/>
      <c r="S945"/>
      <c r="T945"/>
      <c r="U945"/>
      <c r="V945"/>
      <c r="W945"/>
      <c r="X945"/>
      <c r="Y945"/>
      <c r="Z945"/>
      <c r="AA945"/>
      <c r="AB945"/>
      <c r="AC945"/>
      <c r="AD945"/>
      <c r="AE945"/>
      <c r="AF945"/>
      <c r="AG945"/>
      <c r="AH945"/>
      <c r="AI945"/>
      <c r="AJ945"/>
      <c r="AK945"/>
      <c r="AL945"/>
      <c r="AM945"/>
      <c r="AN945"/>
      <c r="AO945"/>
      <c r="AP945"/>
      <c r="AQ945"/>
      <c r="AR945"/>
      <c r="AS945"/>
      <c r="AT945"/>
      <c r="AU945"/>
      <c r="AV945"/>
      <c r="AW945"/>
      <c r="AX945"/>
      <c r="AY945"/>
      <c r="AZ945"/>
      <c r="BA945"/>
      <c r="BB945"/>
      <c r="BC945"/>
      <c r="BD945"/>
      <c r="BE945"/>
      <c r="BF945"/>
      <c r="BG945"/>
      <c r="BH945"/>
      <c r="BI945"/>
      <c r="BJ945"/>
      <c r="BK945"/>
      <c r="BL945"/>
      <c r="BM945"/>
      <c r="BN945"/>
      <c r="BO945"/>
      <c r="BP945"/>
      <c r="BQ945"/>
      <c r="BR945"/>
      <c r="BS945"/>
      <c r="BT945"/>
      <c r="BU945"/>
      <c r="BV945"/>
      <c r="BW945"/>
      <c r="BX945"/>
      <c r="BY945"/>
      <c r="BZ945"/>
    </row>
    <row r="946" spans="4:78" x14ac:dyDescent="0.25">
      <c r="D946"/>
      <c r="E946"/>
      <c r="F946"/>
      <c r="G946"/>
      <c r="H946"/>
      <c r="I946"/>
      <c r="J946"/>
      <c r="K946"/>
      <c r="L946"/>
      <c r="M946"/>
      <c r="N946"/>
      <c r="O946"/>
      <c r="P946"/>
      <c r="Q946"/>
      <c r="R946"/>
      <c r="S946"/>
      <c r="T946"/>
      <c r="U946"/>
      <c r="V946"/>
      <c r="W946"/>
      <c r="X946"/>
      <c r="Y946"/>
      <c r="Z946"/>
      <c r="AA946"/>
      <c r="AB946"/>
      <c r="AC946"/>
      <c r="AD946"/>
      <c r="AE946"/>
      <c r="AF946"/>
      <c r="AG946"/>
      <c r="AH946"/>
      <c r="AI946"/>
      <c r="AJ946"/>
      <c r="AK946"/>
      <c r="AL946"/>
      <c r="AM946"/>
      <c r="AN946"/>
      <c r="AO946"/>
      <c r="AP946"/>
      <c r="AQ946"/>
      <c r="AR946"/>
      <c r="AS946"/>
      <c r="AT946"/>
      <c r="AU946"/>
      <c r="AV946"/>
      <c r="AW946"/>
      <c r="AX946"/>
      <c r="AY946"/>
      <c r="AZ946"/>
      <c r="BA946"/>
      <c r="BB946"/>
      <c r="BC946"/>
      <c r="BD946"/>
      <c r="BE946"/>
      <c r="BF946"/>
      <c r="BG946"/>
      <c r="BH946"/>
      <c r="BI946"/>
      <c r="BJ946"/>
      <c r="BK946"/>
      <c r="BL946"/>
      <c r="BM946"/>
      <c r="BN946"/>
      <c r="BO946"/>
      <c r="BP946"/>
      <c r="BQ946"/>
      <c r="BR946"/>
      <c r="BS946"/>
      <c r="BT946"/>
      <c r="BU946"/>
      <c r="BV946"/>
      <c r="BW946"/>
      <c r="BX946"/>
      <c r="BY946"/>
      <c r="BZ946"/>
    </row>
    <row r="947" spans="4:78" x14ac:dyDescent="0.25">
      <c r="D947"/>
      <c r="E947"/>
      <c r="F947"/>
      <c r="G947"/>
      <c r="H947"/>
      <c r="I947"/>
      <c r="J947"/>
      <c r="K947"/>
      <c r="L947"/>
      <c r="M947"/>
      <c r="N947"/>
      <c r="O947"/>
      <c r="P947"/>
      <c r="Q947"/>
      <c r="R947"/>
      <c r="S947"/>
      <c r="T947"/>
      <c r="U947"/>
      <c r="V947"/>
      <c r="W947"/>
      <c r="X947"/>
      <c r="Y947"/>
      <c r="Z947"/>
      <c r="AA947"/>
      <c r="AB947"/>
      <c r="AC947"/>
      <c r="AD947"/>
      <c r="AE947"/>
      <c r="AF947"/>
      <c r="AG947"/>
      <c r="AH947"/>
      <c r="AI947"/>
      <c r="AJ947"/>
      <c r="AK947"/>
      <c r="AL947"/>
      <c r="AM947"/>
      <c r="AN947"/>
      <c r="AO947"/>
      <c r="AP947"/>
      <c r="AQ947"/>
      <c r="AR947"/>
      <c r="AS947"/>
      <c r="AT947"/>
      <c r="AU947"/>
      <c r="AV947"/>
      <c r="AW947"/>
      <c r="AX947"/>
      <c r="AY947"/>
      <c r="AZ947"/>
      <c r="BA947"/>
      <c r="BB947"/>
      <c r="BC947"/>
      <c r="BD947"/>
      <c r="BE947"/>
      <c r="BF947"/>
      <c r="BG947"/>
      <c r="BH947"/>
      <c r="BI947"/>
      <c r="BJ947"/>
      <c r="BK947"/>
      <c r="BL947"/>
      <c r="BM947"/>
      <c r="BN947"/>
      <c r="BO947"/>
      <c r="BP947"/>
      <c r="BQ947"/>
      <c r="BR947"/>
      <c r="BS947"/>
      <c r="BT947"/>
      <c r="BU947"/>
      <c r="BV947"/>
      <c r="BW947"/>
      <c r="BX947"/>
      <c r="BY947"/>
      <c r="BZ947"/>
    </row>
    <row r="948" spans="4:78" x14ac:dyDescent="0.25">
      <c r="D948"/>
      <c r="E948"/>
      <c r="F948"/>
      <c r="G948"/>
      <c r="H948"/>
      <c r="I948"/>
      <c r="J948"/>
      <c r="K948"/>
      <c r="L948"/>
      <c r="M948"/>
      <c r="N948"/>
      <c r="O948"/>
      <c r="P948"/>
      <c r="Q948"/>
      <c r="R948"/>
      <c r="S948"/>
      <c r="T948"/>
      <c r="U948"/>
      <c r="V948"/>
      <c r="W948"/>
      <c r="X948"/>
      <c r="Y948"/>
      <c r="Z948"/>
      <c r="AA948"/>
      <c r="AB948"/>
      <c r="AC948"/>
      <c r="AD948"/>
      <c r="AE948"/>
      <c r="AF948"/>
      <c r="AG948"/>
      <c r="AH948"/>
      <c r="AI948"/>
      <c r="AJ948"/>
      <c r="AK948"/>
      <c r="AL948"/>
      <c r="AM948"/>
      <c r="AN948"/>
      <c r="AO948"/>
      <c r="AP948"/>
      <c r="AQ948"/>
      <c r="AR948"/>
      <c r="AS948"/>
      <c r="AT948"/>
      <c r="AU948"/>
      <c r="AV948"/>
      <c r="AW948"/>
      <c r="AX948"/>
      <c r="AY948"/>
      <c r="AZ948"/>
      <c r="BA948"/>
      <c r="BB948"/>
      <c r="BC948"/>
      <c r="BD948"/>
      <c r="BE948"/>
      <c r="BF948"/>
      <c r="BG948"/>
      <c r="BH948"/>
      <c r="BI948"/>
      <c r="BJ948"/>
      <c r="BK948"/>
      <c r="BL948"/>
      <c r="BM948"/>
      <c r="BN948"/>
      <c r="BO948"/>
      <c r="BP948"/>
      <c r="BQ948"/>
      <c r="BR948"/>
      <c r="BS948"/>
      <c r="BT948"/>
      <c r="BU948"/>
      <c r="BV948"/>
      <c r="BW948"/>
      <c r="BX948"/>
      <c r="BY948"/>
      <c r="BZ948"/>
    </row>
    <row r="949" spans="4:78" x14ac:dyDescent="0.25">
      <c r="D949"/>
      <c r="E949"/>
      <c r="F949"/>
      <c r="G949"/>
      <c r="H949"/>
      <c r="I949"/>
      <c r="J949"/>
      <c r="K949"/>
      <c r="L949"/>
      <c r="M949"/>
      <c r="N949"/>
      <c r="O949"/>
      <c r="P949"/>
      <c r="Q949"/>
      <c r="R949"/>
      <c r="S949"/>
      <c r="T949"/>
      <c r="U949"/>
      <c r="V949"/>
      <c r="W949"/>
      <c r="X949"/>
      <c r="Y949"/>
      <c r="Z949"/>
      <c r="AA949"/>
      <c r="AB949"/>
      <c r="AC949"/>
      <c r="AD949"/>
      <c r="AE949"/>
      <c r="AF949"/>
      <c r="AG949"/>
      <c r="AH949"/>
      <c r="AI949"/>
      <c r="AJ949"/>
      <c r="AK949"/>
      <c r="AL949"/>
      <c r="AM949"/>
      <c r="AN949"/>
      <c r="AO949"/>
      <c r="AP949"/>
      <c r="AQ949"/>
      <c r="AR949"/>
      <c r="AS949"/>
      <c r="AT949"/>
      <c r="AU949"/>
      <c r="AV949"/>
      <c r="AW949"/>
      <c r="AX949"/>
      <c r="AY949"/>
      <c r="AZ949"/>
      <c r="BA949"/>
      <c r="BB949"/>
      <c r="BC949"/>
      <c r="BD949"/>
      <c r="BE949"/>
      <c r="BF949"/>
      <c r="BG949"/>
      <c r="BH949"/>
      <c r="BI949"/>
      <c r="BJ949"/>
      <c r="BK949"/>
      <c r="BL949"/>
      <c r="BM949"/>
      <c r="BN949"/>
      <c r="BO949"/>
      <c r="BP949"/>
      <c r="BQ949"/>
      <c r="BR949"/>
      <c r="BS949"/>
      <c r="BT949"/>
      <c r="BU949"/>
      <c r="BV949"/>
      <c r="BW949"/>
      <c r="BX949"/>
      <c r="BY949"/>
      <c r="BZ949"/>
    </row>
    <row r="950" spans="4:78" x14ac:dyDescent="0.25">
      <c r="D950"/>
      <c r="E950"/>
      <c r="F950"/>
      <c r="G950"/>
      <c r="H950"/>
      <c r="I950"/>
      <c r="J950"/>
      <c r="K950"/>
      <c r="L950"/>
      <c r="M950"/>
      <c r="N950"/>
      <c r="O950"/>
      <c r="P950"/>
      <c r="Q950"/>
      <c r="R950"/>
      <c r="S950"/>
      <c r="T950"/>
      <c r="U950"/>
      <c r="V950"/>
      <c r="W950"/>
      <c r="X950"/>
      <c r="Y950"/>
      <c r="Z950"/>
      <c r="AA950"/>
      <c r="AB950"/>
      <c r="AC950"/>
      <c r="AD950"/>
      <c r="AE950"/>
      <c r="AF950"/>
      <c r="AG950"/>
      <c r="AH950"/>
      <c r="AI950"/>
      <c r="AJ950"/>
      <c r="AK950"/>
      <c r="AL950"/>
      <c r="AM950"/>
      <c r="AN950"/>
      <c r="AO950"/>
      <c r="AP950"/>
      <c r="AQ950"/>
      <c r="AR950"/>
      <c r="AS950"/>
      <c r="AT950"/>
      <c r="AU950"/>
      <c r="AV950"/>
      <c r="AW950"/>
      <c r="AX950"/>
      <c r="AY950"/>
      <c r="AZ950"/>
      <c r="BA950"/>
      <c r="BB950"/>
      <c r="BC950"/>
      <c r="BD950"/>
      <c r="BE950"/>
      <c r="BF950"/>
      <c r="BG950"/>
      <c r="BH950"/>
      <c r="BI950"/>
      <c r="BJ950"/>
      <c r="BK950"/>
      <c r="BL950"/>
      <c r="BM950"/>
      <c r="BN950"/>
      <c r="BO950"/>
      <c r="BP950"/>
      <c r="BQ950"/>
      <c r="BR950"/>
      <c r="BS950"/>
      <c r="BT950"/>
      <c r="BU950"/>
      <c r="BV950"/>
      <c r="BW950"/>
      <c r="BX950"/>
      <c r="BY950"/>
      <c r="BZ950"/>
    </row>
    <row r="951" spans="4:78" x14ac:dyDescent="0.25">
      <c r="D951"/>
      <c r="E951"/>
      <c r="F951"/>
      <c r="G951"/>
      <c r="H951"/>
      <c r="I951"/>
      <c r="J951"/>
      <c r="K951"/>
      <c r="L951"/>
      <c r="M951"/>
      <c r="N951"/>
      <c r="O951"/>
      <c r="P951"/>
      <c r="Q951"/>
      <c r="R951"/>
      <c r="S951"/>
      <c r="T951"/>
      <c r="U951"/>
      <c r="V951"/>
      <c r="W951"/>
      <c r="X951"/>
      <c r="Y951"/>
      <c r="Z951"/>
      <c r="AA951"/>
      <c r="AB951"/>
      <c r="AC951"/>
      <c r="AD951"/>
      <c r="AE951"/>
      <c r="AF951"/>
      <c r="AG951"/>
      <c r="AH951"/>
      <c r="AI951"/>
      <c r="AJ951"/>
      <c r="AK951"/>
      <c r="AL951"/>
      <c r="AM951"/>
      <c r="AN951"/>
      <c r="AO951"/>
      <c r="AP951"/>
      <c r="AQ951"/>
      <c r="AR951"/>
      <c r="AS951"/>
      <c r="AT951"/>
      <c r="AU951"/>
      <c r="AV951"/>
      <c r="AW951"/>
      <c r="AX951"/>
      <c r="AY951"/>
      <c r="AZ951"/>
      <c r="BA951"/>
      <c r="BB951"/>
      <c r="BC951"/>
      <c r="BD951"/>
      <c r="BE951"/>
      <c r="BF951"/>
      <c r="BG951"/>
      <c r="BH951"/>
      <c r="BI951"/>
      <c r="BJ951"/>
      <c r="BK951"/>
      <c r="BL951"/>
      <c r="BM951"/>
      <c r="BN951"/>
      <c r="BO951"/>
      <c r="BP951"/>
      <c r="BQ951"/>
      <c r="BR951"/>
      <c r="BS951"/>
      <c r="BT951"/>
      <c r="BU951"/>
      <c r="BV951"/>
      <c r="BW951"/>
      <c r="BX951"/>
      <c r="BY951"/>
      <c r="BZ951"/>
    </row>
    <row r="952" spans="4:78" x14ac:dyDescent="0.25">
      <c r="D952"/>
      <c r="E952"/>
      <c r="F952"/>
      <c r="G952"/>
      <c r="H952"/>
      <c r="I952"/>
      <c r="J952"/>
      <c r="K952"/>
      <c r="L952"/>
      <c r="M952"/>
      <c r="N952"/>
      <c r="O952"/>
      <c r="P952"/>
      <c r="Q952"/>
      <c r="R952"/>
      <c r="S952"/>
      <c r="T952"/>
      <c r="U952"/>
      <c r="V952"/>
      <c r="W952"/>
      <c r="X952"/>
      <c r="Y952"/>
      <c r="Z952"/>
      <c r="AA952"/>
      <c r="AB952"/>
      <c r="AC952"/>
      <c r="AD952"/>
      <c r="AE952"/>
      <c r="AF952"/>
      <c r="AG952"/>
      <c r="AH952"/>
      <c r="AI952"/>
      <c r="AJ952"/>
      <c r="AK952"/>
      <c r="AL952"/>
      <c r="AM952"/>
      <c r="AN952"/>
      <c r="AO952"/>
      <c r="AP952"/>
      <c r="AQ952"/>
      <c r="AR952"/>
      <c r="AS952"/>
      <c r="AT952"/>
      <c r="AU952"/>
      <c r="AV952"/>
      <c r="AW952"/>
      <c r="AX952"/>
      <c r="AY952"/>
      <c r="AZ952"/>
      <c r="BA952"/>
      <c r="BB952"/>
      <c r="BC952"/>
      <c r="BD952"/>
      <c r="BE952"/>
      <c r="BF952"/>
      <c r="BG952"/>
      <c r="BH952"/>
      <c r="BI952"/>
      <c r="BJ952"/>
      <c r="BK952"/>
      <c r="BL952"/>
      <c r="BM952"/>
      <c r="BN952"/>
      <c r="BO952"/>
      <c r="BP952"/>
      <c r="BQ952"/>
      <c r="BR952"/>
      <c r="BS952"/>
      <c r="BT952"/>
      <c r="BU952"/>
      <c r="BV952"/>
      <c r="BW952"/>
      <c r="BX952"/>
      <c r="BY952"/>
      <c r="BZ952"/>
    </row>
    <row r="953" spans="4:78" x14ac:dyDescent="0.25">
      <c r="D953"/>
      <c r="E953"/>
      <c r="F953"/>
      <c r="G953"/>
      <c r="H953"/>
      <c r="I953"/>
      <c r="J953"/>
      <c r="K953"/>
      <c r="L953"/>
      <c r="M953"/>
      <c r="N953"/>
      <c r="O953"/>
      <c r="P953"/>
      <c r="Q953"/>
      <c r="R953"/>
      <c r="S953"/>
      <c r="T953"/>
      <c r="U953"/>
      <c r="V953"/>
      <c r="W953"/>
      <c r="X953"/>
      <c r="Y953"/>
      <c r="Z953"/>
      <c r="AA953"/>
      <c r="AB953"/>
      <c r="AC953"/>
      <c r="AD953"/>
      <c r="AE953"/>
      <c r="AF953"/>
      <c r="AG953"/>
      <c r="AH953"/>
      <c r="AI953"/>
      <c r="AJ953"/>
      <c r="AK953"/>
      <c r="AL953"/>
      <c r="AM953"/>
      <c r="AN953"/>
      <c r="AO953"/>
      <c r="AP953"/>
      <c r="AQ953"/>
      <c r="AR953"/>
      <c r="AS953"/>
      <c r="AT953"/>
      <c r="AU953"/>
      <c r="AV953"/>
      <c r="AW953"/>
      <c r="AX953"/>
      <c r="AY953"/>
      <c r="AZ953"/>
      <c r="BA953"/>
      <c r="BB953"/>
      <c r="BC953"/>
      <c r="BD953"/>
      <c r="BE953"/>
      <c r="BF953"/>
      <c r="BG953"/>
      <c r="BH953"/>
      <c r="BI953"/>
      <c r="BJ953"/>
      <c r="BK953"/>
      <c r="BL953"/>
      <c r="BM953"/>
      <c r="BN953"/>
      <c r="BO953"/>
      <c r="BP953"/>
      <c r="BQ953"/>
      <c r="BR953"/>
      <c r="BS953"/>
      <c r="BT953"/>
      <c r="BU953"/>
      <c r="BV953"/>
      <c r="BW953"/>
      <c r="BX953"/>
      <c r="BY953"/>
      <c r="BZ953"/>
    </row>
    <row r="954" spans="4:78" x14ac:dyDescent="0.25">
      <c r="D954"/>
      <c r="E954"/>
      <c r="F954"/>
      <c r="G954"/>
      <c r="H954"/>
      <c r="I954"/>
      <c r="J954"/>
      <c r="K954"/>
      <c r="L954"/>
      <c r="M954"/>
      <c r="N954"/>
      <c r="O954"/>
      <c r="P954"/>
      <c r="Q954"/>
      <c r="R954"/>
      <c r="S954"/>
      <c r="T954"/>
      <c r="U954"/>
      <c r="V954"/>
      <c r="W954"/>
      <c r="X954"/>
      <c r="Y954"/>
      <c r="Z954"/>
      <c r="AA954"/>
      <c r="AB954"/>
      <c r="AC954"/>
      <c r="AD954"/>
      <c r="AE954"/>
      <c r="AF954"/>
      <c r="AG954"/>
      <c r="AH954"/>
      <c r="AI954"/>
      <c r="AJ954"/>
      <c r="AK954"/>
      <c r="AL954"/>
      <c r="AM954"/>
      <c r="AN954"/>
      <c r="AO954"/>
      <c r="AP954"/>
      <c r="AQ954"/>
      <c r="AR954"/>
      <c r="AS954"/>
      <c r="AT954"/>
      <c r="AU954"/>
      <c r="AV954"/>
      <c r="AW954"/>
      <c r="AX954"/>
      <c r="AY954"/>
      <c r="AZ954"/>
      <c r="BA954"/>
      <c r="BB954"/>
      <c r="BC954"/>
      <c r="BD954"/>
      <c r="BE954"/>
      <c r="BF954"/>
      <c r="BG954"/>
      <c r="BH954"/>
      <c r="BI954"/>
      <c r="BJ954"/>
      <c r="BK954"/>
      <c r="BL954"/>
      <c r="BM954"/>
      <c r="BN954"/>
      <c r="BO954"/>
      <c r="BP954"/>
      <c r="BQ954"/>
      <c r="BR954"/>
      <c r="BS954"/>
      <c r="BT954"/>
      <c r="BU954"/>
      <c r="BV954"/>
      <c r="BW954"/>
      <c r="BX954"/>
      <c r="BY954"/>
      <c r="BZ954"/>
    </row>
    <row r="955" spans="4:78" x14ac:dyDescent="0.25">
      <c r="D955"/>
      <c r="E955"/>
      <c r="F955"/>
      <c r="G955"/>
      <c r="H955"/>
      <c r="I955"/>
      <c r="J955"/>
      <c r="K955"/>
      <c r="L955"/>
      <c r="M955"/>
      <c r="N955"/>
      <c r="O955"/>
      <c r="P955"/>
      <c r="Q955"/>
      <c r="R955"/>
      <c r="S955"/>
      <c r="T955"/>
      <c r="U955"/>
      <c r="V955"/>
      <c r="W955"/>
      <c r="X955"/>
      <c r="Y955"/>
      <c r="Z955"/>
      <c r="AA955"/>
      <c r="AB955"/>
      <c r="AC955"/>
      <c r="AD955"/>
      <c r="AE955"/>
      <c r="AF955"/>
      <c r="AG955"/>
      <c r="AH955"/>
      <c r="AI955"/>
      <c r="AJ955"/>
      <c r="AK955"/>
      <c r="AL955"/>
      <c r="AM955"/>
      <c r="AN955"/>
      <c r="AO955"/>
      <c r="AP955"/>
      <c r="AQ955"/>
      <c r="AR955"/>
      <c r="AS955"/>
      <c r="AT955"/>
      <c r="AU955"/>
      <c r="AV955"/>
      <c r="AW955"/>
      <c r="AX955"/>
      <c r="AY955"/>
      <c r="AZ955"/>
      <c r="BA955"/>
      <c r="BB955"/>
      <c r="BC955"/>
      <c r="BD955"/>
      <c r="BE955"/>
      <c r="BF955"/>
      <c r="BG955"/>
      <c r="BH955"/>
      <c r="BI955"/>
      <c r="BJ955"/>
      <c r="BK955"/>
      <c r="BL955"/>
      <c r="BM955"/>
      <c r="BN955"/>
      <c r="BO955"/>
      <c r="BP955"/>
      <c r="BQ955"/>
      <c r="BR955"/>
      <c r="BS955"/>
      <c r="BT955"/>
      <c r="BU955"/>
      <c r="BV955"/>
      <c r="BW955"/>
      <c r="BX955"/>
      <c r="BY955"/>
      <c r="BZ955"/>
    </row>
    <row r="956" spans="4:78" x14ac:dyDescent="0.25">
      <c r="D956"/>
      <c r="E956"/>
      <c r="F956"/>
      <c r="G956"/>
      <c r="H956"/>
      <c r="I956"/>
      <c r="J956"/>
      <c r="K956"/>
      <c r="L956"/>
      <c r="M956"/>
      <c r="N956"/>
      <c r="O956"/>
      <c r="P956"/>
      <c r="Q956"/>
      <c r="R956"/>
      <c r="S956"/>
      <c r="T956"/>
      <c r="U956"/>
      <c r="V956"/>
      <c r="W956"/>
      <c r="X956"/>
      <c r="Y956"/>
      <c r="Z956"/>
      <c r="AA956"/>
      <c r="AB956"/>
      <c r="AC956"/>
      <c r="AD956"/>
      <c r="AE956"/>
      <c r="AF956"/>
      <c r="AG956"/>
      <c r="AH956"/>
      <c r="AI956"/>
      <c r="AJ956"/>
      <c r="AK956"/>
      <c r="AL956"/>
      <c r="AM956"/>
      <c r="AN956"/>
      <c r="AO956"/>
      <c r="AP956"/>
      <c r="AQ956"/>
      <c r="AR956"/>
      <c r="AS956"/>
      <c r="AT956"/>
      <c r="AU956"/>
      <c r="AV956"/>
      <c r="AW956"/>
      <c r="AX956"/>
      <c r="AY956"/>
      <c r="AZ956"/>
      <c r="BA956"/>
      <c r="BB956"/>
      <c r="BC956"/>
      <c r="BD956"/>
      <c r="BE956"/>
      <c r="BF956"/>
      <c r="BG956"/>
      <c r="BH956"/>
      <c r="BI956"/>
      <c r="BJ956"/>
      <c r="BK956"/>
      <c r="BL956"/>
      <c r="BM956"/>
      <c r="BN956"/>
      <c r="BO956"/>
      <c r="BP956"/>
      <c r="BQ956"/>
      <c r="BR956"/>
      <c r="BS956"/>
      <c r="BT956"/>
      <c r="BU956"/>
      <c r="BV956"/>
      <c r="BW956"/>
      <c r="BX956"/>
      <c r="BY956"/>
      <c r="BZ956"/>
    </row>
    <row r="957" spans="4:78" x14ac:dyDescent="0.25">
      <c r="D957"/>
      <c r="E957"/>
      <c r="F957"/>
      <c r="G957"/>
      <c r="H957"/>
      <c r="I957"/>
      <c r="J957"/>
      <c r="K957"/>
      <c r="L957"/>
      <c r="M957"/>
      <c r="N957"/>
      <c r="O957"/>
      <c r="P957"/>
      <c r="Q957"/>
      <c r="R957"/>
      <c r="S957"/>
      <c r="T957"/>
      <c r="U957"/>
      <c r="V957"/>
      <c r="W957"/>
      <c r="X957"/>
      <c r="Y957"/>
      <c r="Z957"/>
      <c r="AA957"/>
      <c r="AB957"/>
      <c r="AC957"/>
      <c r="AD957"/>
      <c r="AE957"/>
      <c r="AF957"/>
      <c r="AG957"/>
      <c r="AH957"/>
      <c r="AI957"/>
      <c r="AJ957"/>
      <c r="AK957"/>
      <c r="AL957"/>
      <c r="AM957"/>
      <c r="AN957"/>
      <c r="AO957"/>
      <c r="AP957"/>
      <c r="AQ957"/>
      <c r="AR957"/>
      <c r="AS957"/>
      <c r="AT957"/>
      <c r="AU957"/>
      <c r="AV957"/>
      <c r="AW957"/>
      <c r="AX957"/>
      <c r="AY957"/>
      <c r="AZ957"/>
      <c r="BA957"/>
      <c r="BB957"/>
      <c r="BC957"/>
      <c r="BD957"/>
      <c r="BE957"/>
      <c r="BF957"/>
      <c r="BG957"/>
      <c r="BH957"/>
      <c r="BI957"/>
      <c r="BJ957"/>
      <c r="BK957"/>
      <c r="BL957"/>
      <c r="BM957"/>
      <c r="BN957"/>
      <c r="BO957"/>
      <c r="BP957"/>
      <c r="BQ957"/>
      <c r="BR957"/>
      <c r="BS957"/>
      <c r="BT957"/>
      <c r="BU957"/>
      <c r="BV957"/>
      <c r="BW957"/>
      <c r="BX957"/>
      <c r="BY957"/>
      <c r="BZ957"/>
    </row>
    <row r="958" spans="4:78" x14ac:dyDescent="0.25">
      <c r="D958"/>
      <c r="E958"/>
      <c r="F958"/>
      <c r="G958"/>
      <c r="H958"/>
      <c r="I958"/>
      <c r="J958"/>
      <c r="K958"/>
      <c r="L958"/>
      <c r="M958"/>
      <c r="N958"/>
      <c r="O958"/>
      <c r="P958"/>
      <c r="Q958"/>
      <c r="R958"/>
      <c r="S958"/>
      <c r="T958"/>
      <c r="U958"/>
      <c r="V958"/>
      <c r="W958"/>
      <c r="X958"/>
      <c r="Y958"/>
      <c r="Z958"/>
      <c r="AA958"/>
      <c r="AB958"/>
      <c r="AC958"/>
      <c r="AD958"/>
      <c r="AE958"/>
      <c r="AF958"/>
      <c r="AG958"/>
      <c r="AH958"/>
      <c r="AI958"/>
      <c r="AJ958"/>
      <c r="AK958"/>
      <c r="AL958"/>
      <c r="AM958"/>
      <c r="AN958"/>
      <c r="AO958"/>
      <c r="AP958"/>
      <c r="AQ958"/>
      <c r="AR958"/>
      <c r="AS958"/>
      <c r="AT958"/>
      <c r="AU958"/>
      <c r="AV958"/>
      <c r="AW958"/>
      <c r="AX958"/>
      <c r="AY958"/>
      <c r="AZ958"/>
      <c r="BA958"/>
      <c r="BB958"/>
      <c r="BC958"/>
      <c r="BD958"/>
      <c r="BE958"/>
      <c r="BF958"/>
      <c r="BG958"/>
      <c r="BH958"/>
      <c r="BI958"/>
      <c r="BJ958"/>
      <c r="BK958"/>
      <c r="BL958"/>
      <c r="BM958"/>
      <c r="BN958"/>
      <c r="BO958"/>
      <c r="BP958"/>
      <c r="BQ958"/>
      <c r="BR958"/>
      <c r="BS958"/>
      <c r="BT958"/>
      <c r="BU958"/>
      <c r="BV958"/>
      <c r="BW958"/>
      <c r="BX958"/>
      <c r="BY958"/>
      <c r="BZ958"/>
    </row>
    <row r="959" spans="4:78" x14ac:dyDescent="0.25">
      <c r="D959"/>
      <c r="E959"/>
      <c r="F959"/>
      <c r="G959"/>
      <c r="H959"/>
      <c r="I959"/>
      <c r="J959"/>
      <c r="K959"/>
      <c r="L959"/>
      <c r="M959"/>
      <c r="N959"/>
      <c r="O959"/>
      <c r="P959"/>
      <c r="Q959"/>
      <c r="R959"/>
      <c r="S959"/>
      <c r="T959"/>
      <c r="U959"/>
      <c r="V959"/>
      <c r="W959"/>
      <c r="X959"/>
      <c r="Y959"/>
      <c r="Z959"/>
      <c r="AA959"/>
      <c r="AB959"/>
      <c r="AC959"/>
      <c r="AD959"/>
      <c r="AE959"/>
      <c r="AF959"/>
      <c r="AG959"/>
      <c r="AH959"/>
      <c r="AI959"/>
      <c r="AJ959"/>
      <c r="AK959"/>
      <c r="AL959"/>
      <c r="AM959"/>
      <c r="AN959"/>
      <c r="AO959"/>
      <c r="AP959"/>
      <c r="AQ959"/>
      <c r="AR959"/>
      <c r="AS959"/>
      <c r="AT959"/>
      <c r="AU959"/>
      <c r="AV959"/>
      <c r="AW959"/>
      <c r="AX959"/>
      <c r="AY959"/>
      <c r="AZ959"/>
      <c r="BA959"/>
      <c r="BB959"/>
      <c r="BC959"/>
      <c r="BD959"/>
      <c r="BE959"/>
      <c r="BF959"/>
      <c r="BG959"/>
      <c r="BH959"/>
      <c r="BI959"/>
      <c r="BJ959"/>
      <c r="BK959"/>
      <c r="BL959"/>
      <c r="BM959"/>
      <c r="BN959"/>
      <c r="BO959"/>
      <c r="BP959"/>
      <c r="BQ959"/>
      <c r="BR959"/>
      <c r="BS959"/>
      <c r="BT959"/>
      <c r="BU959"/>
      <c r="BV959"/>
      <c r="BW959"/>
      <c r="BX959"/>
      <c r="BY959"/>
      <c r="BZ959"/>
    </row>
    <row r="960" spans="4:78" x14ac:dyDescent="0.25">
      <c r="D960"/>
      <c r="E960"/>
      <c r="F960"/>
      <c r="G960"/>
      <c r="H960"/>
      <c r="I960"/>
      <c r="J960"/>
      <c r="K960"/>
      <c r="L960"/>
      <c r="M960"/>
      <c r="N960"/>
      <c r="O960"/>
      <c r="P960"/>
      <c r="Q960"/>
      <c r="R960"/>
      <c r="S960"/>
      <c r="T960"/>
      <c r="U960"/>
      <c r="V960"/>
      <c r="W960"/>
      <c r="X960"/>
      <c r="Y960"/>
      <c r="Z960"/>
      <c r="AA960"/>
      <c r="AB960"/>
      <c r="AC960"/>
      <c r="AD960"/>
      <c r="AE960"/>
      <c r="AF960"/>
      <c r="AG960"/>
      <c r="AH960"/>
      <c r="AI960"/>
      <c r="AJ960"/>
      <c r="AK960"/>
      <c r="AL960"/>
      <c r="AM960"/>
      <c r="AN960"/>
      <c r="AO960"/>
      <c r="AP960"/>
      <c r="AQ960"/>
      <c r="AR960"/>
      <c r="AS960"/>
      <c r="AT960"/>
      <c r="AU960"/>
      <c r="AV960"/>
      <c r="AW960"/>
      <c r="AX960"/>
      <c r="AY960"/>
      <c r="AZ960"/>
      <c r="BA960"/>
      <c r="BB960"/>
      <c r="BC960"/>
      <c r="BD960"/>
      <c r="BE960"/>
      <c r="BF960"/>
      <c r="BG960"/>
      <c r="BH960"/>
      <c r="BI960"/>
      <c r="BJ960"/>
      <c r="BK960"/>
      <c r="BL960"/>
      <c r="BM960"/>
      <c r="BN960"/>
      <c r="BO960"/>
      <c r="BP960"/>
      <c r="BQ960"/>
      <c r="BR960"/>
      <c r="BS960"/>
      <c r="BT960"/>
      <c r="BU960"/>
      <c r="BV960"/>
      <c r="BW960"/>
      <c r="BX960"/>
      <c r="BY960"/>
      <c r="BZ960"/>
    </row>
    <row r="961" spans="4:78" x14ac:dyDescent="0.25">
      <c r="D961"/>
      <c r="E961"/>
      <c r="F961"/>
      <c r="G961"/>
      <c r="H961"/>
      <c r="I961"/>
      <c r="J961"/>
      <c r="K961"/>
      <c r="L961"/>
      <c r="M961"/>
      <c r="N961"/>
      <c r="O961"/>
      <c r="P961"/>
      <c r="Q961"/>
      <c r="R961"/>
      <c r="S961"/>
      <c r="T961"/>
      <c r="U961"/>
      <c r="V961"/>
      <c r="W961"/>
      <c r="X961"/>
      <c r="Y961"/>
      <c r="Z961"/>
      <c r="AA961"/>
      <c r="AB961"/>
      <c r="AC961"/>
      <c r="AD961"/>
      <c r="AE961"/>
      <c r="AF961"/>
      <c r="AG961"/>
      <c r="AH961"/>
      <c r="AI961"/>
      <c r="AJ961"/>
      <c r="AK961"/>
      <c r="AL961"/>
      <c r="AM961"/>
      <c r="AN961"/>
      <c r="AO961"/>
      <c r="AP961"/>
      <c r="AQ961"/>
      <c r="AR961"/>
      <c r="AS961"/>
      <c r="AT961"/>
      <c r="AU961"/>
      <c r="AV961"/>
      <c r="AW961"/>
      <c r="AX961"/>
      <c r="AY961"/>
      <c r="AZ961"/>
      <c r="BA961"/>
      <c r="BB961"/>
      <c r="BC961"/>
      <c r="BD961"/>
      <c r="BE961"/>
      <c r="BF961"/>
      <c r="BG961"/>
      <c r="BH961"/>
      <c r="BI961"/>
      <c r="BJ961"/>
      <c r="BK961"/>
      <c r="BL961"/>
      <c r="BM961"/>
      <c r="BN961"/>
      <c r="BO961"/>
      <c r="BP961"/>
      <c r="BQ961"/>
      <c r="BR961"/>
      <c r="BS961"/>
      <c r="BT961"/>
      <c r="BU961"/>
      <c r="BV961"/>
      <c r="BW961"/>
      <c r="BX961"/>
      <c r="BY961"/>
      <c r="BZ961"/>
    </row>
    <row r="962" spans="4:78" x14ac:dyDescent="0.25">
      <c r="D962"/>
      <c r="E962"/>
      <c r="F962"/>
      <c r="G962"/>
      <c r="H962"/>
      <c r="I962"/>
      <c r="J962"/>
      <c r="K962"/>
      <c r="L962"/>
      <c r="M962"/>
      <c r="N962"/>
      <c r="O962"/>
      <c r="P962"/>
      <c r="Q962"/>
      <c r="R962"/>
      <c r="S962"/>
      <c r="T962"/>
      <c r="U962"/>
      <c r="V962"/>
      <c r="W962"/>
      <c r="X962"/>
      <c r="Y962"/>
      <c r="Z962"/>
      <c r="AA962"/>
      <c r="AB962"/>
      <c r="AC962"/>
      <c r="AD962"/>
      <c r="AE962"/>
      <c r="AF962"/>
      <c r="AG962"/>
      <c r="AH962"/>
      <c r="AI962"/>
      <c r="AJ962"/>
      <c r="AK962"/>
      <c r="AL962"/>
      <c r="AM962"/>
      <c r="AN962"/>
      <c r="AO962"/>
      <c r="AP962"/>
      <c r="AQ962"/>
      <c r="AR962"/>
      <c r="AS962"/>
      <c r="AT962"/>
      <c r="AU962"/>
      <c r="AV962"/>
      <c r="AW962"/>
      <c r="AX962"/>
      <c r="AY962"/>
      <c r="AZ962"/>
      <c r="BA962"/>
      <c r="BB962"/>
      <c r="BC962"/>
      <c r="BD962"/>
      <c r="BE962"/>
      <c r="BF962"/>
      <c r="BG962"/>
      <c r="BH962"/>
      <c r="BI962"/>
      <c r="BJ962"/>
      <c r="BK962"/>
      <c r="BL962"/>
      <c r="BM962"/>
      <c r="BN962"/>
      <c r="BO962"/>
      <c r="BP962"/>
      <c r="BQ962"/>
      <c r="BR962"/>
      <c r="BS962"/>
      <c r="BT962"/>
      <c r="BU962"/>
      <c r="BV962"/>
      <c r="BW962"/>
      <c r="BX962"/>
      <c r="BY962"/>
      <c r="BZ962"/>
    </row>
    <row r="963" spans="4:78" x14ac:dyDescent="0.25">
      <c r="D963"/>
      <c r="E963"/>
      <c r="F963"/>
      <c r="G963"/>
      <c r="H963"/>
      <c r="I963"/>
      <c r="J963"/>
      <c r="K963"/>
      <c r="L963"/>
      <c r="M963"/>
      <c r="N963"/>
      <c r="O963"/>
      <c r="P963"/>
      <c r="Q963"/>
      <c r="R963"/>
      <c r="S963"/>
      <c r="T963"/>
      <c r="U963"/>
      <c r="V963"/>
      <c r="W963"/>
      <c r="X963"/>
      <c r="Y963"/>
      <c r="Z963"/>
      <c r="AA963"/>
      <c r="AB963"/>
      <c r="AC963"/>
      <c r="AD963"/>
      <c r="AE963"/>
      <c r="AF963"/>
      <c r="AG963"/>
      <c r="AH963"/>
      <c r="AI963"/>
      <c r="AJ963"/>
      <c r="AK963"/>
      <c r="AL963"/>
      <c r="AM963"/>
      <c r="AN963"/>
      <c r="AO963"/>
      <c r="AP963"/>
      <c r="AQ963"/>
      <c r="AR963"/>
      <c r="AS963"/>
      <c r="AT963"/>
      <c r="AU963"/>
      <c r="AV963"/>
      <c r="AW963"/>
      <c r="AX963"/>
      <c r="AY963"/>
      <c r="AZ963"/>
      <c r="BA963"/>
      <c r="BB963"/>
      <c r="BC963"/>
      <c r="BD963"/>
      <c r="BE963"/>
      <c r="BF963"/>
      <c r="BG963"/>
      <c r="BH963"/>
      <c r="BI963"/>
      <c r="BJ963"/>
      <c r="BK963"/>
      <c r="BL963"/>
      <c r="BM963"/>
      <c r="BN963"/>
      <c r="BO963"/>
      <c r="BP963"/>
      <c r="BQ963"/>
      <c r="BR963"/>
      <c r="BS963"/>
      <c r="BT963"/>
      <c r="BU963"/>
      <c r="BV963"/>
      <c r="BW963"/>
      <c r="BX963"/>
      <c r="BY963"/>
      <c r="BZ963"/>
    </row>
    <row r="964" spans="4:78" x14ac:dyDescent="0.25">
      <c r="D964"/>
      <c r="E964"/>
      <c r="F964"/>
      <c r="G964"/>
      <c r="H964"/>
      <c r="I964"/>
      <c r="J964"/>
      <c r="K964"/>
      <c r="L964"/>
      <c r="M964"/>
      <c r="N964"/>
      <c r="O964"/>
      <c r="P964"/>
      <c r="Q964"/>
      <c r="R964"/>
      <c r="S964"/>
      <c r="T964"/>
      <c r="U964"/>
      <c r="V964"/>
      <c r="W964"/>
      <c r="X964"/>
      <c r="Y964"/>
      <c r="Z964"/>
      <c r="AA964"/>
      <c r="AB964"/>
      <c r="AC964"/>
      <c r="AD964"/>
      <c r="AE964"/>
      <c r="AF964"/>
      <c r="AG964"/>
      <c r="AH964"/>
      <c r="AI964"/>
      <c r="AJ964"/>
      <c r="AK964"/>
      <c r="AL964"/>
      <c r="AM964"/>
      <c r="AN964"/>
      <c r="AO964"/>
      <c r="AP964"/>
      <c r="AQ964"/>
      <c r="AR964"/>
      <c r="AS964"/>
      <c r="AT964"/>
      <c r="AU964"/>
      <c r="AV964"/>
      <c r="AW964"/>
      <c r="AX964"/>
      <c r="AY964"/>
      <c r="AZ964"/>
      <c r="BA964"/>
      <c r="BB964"/>
      <c r="BC964"/>
      <c r="BD964"/>
      <c r="BE964"/>
      <c r="BF964"/>
      <c r="BG964"/>
      <c r="BH964"/>
      <c r="BI964"/>
      <c r="BJ964"/>
      <c r="BK964"/>
      <c r="BL964"/>
      <c r="BM964"/>
      <c r="BN964"/>
      <c r="BO964"/>
      <c r="BP964"/>
      <c r="BQ964"/>
      <c r="BR964"/>
      <c r="BS964"/>
      <c r="BT964"/>
      <c r="BU964"/>
      <c r="BV964"/>
      <c r="BW964"/>
      <c r="BX964"/>
      <c r="BY964"/>
      <c r="BZ964"/>
    </row>
    <row r="965" spans="4:78" x14ac:dyDescent="0.25">
      <c r="D965"/>
      <c r="E965"/>
      <c r="F965"/>
      <c r="G965"/>
      <c r="H965"/>
      <c r="I965"/>
      <c r="J965"/>
      <c r="K965"/>
      <c r="L965"/>
      <c r="M965"/>
      <c r="N965"/>
      <c r="O965"/>
      <c r="P965"/>
      <c r="Q965"/>
      <c r="R965"/>
      <c r="S965"/>
      <c r="T965"/>
      <c r="U965"/>
      <c r="V965"/>
      <c r="W965"/>
      <c r="X965"/>
      <c r="Y965"/>
      <c r="Z965"/>
      <c r="AA965"/>
      <c r="AB965"/>
      <c r="AC965"/>
      <c r="AD965"/>
      <c r="AE965"/>
      <c r="AF965"/>
      <c r="AG965"/>
      <c r="AH965"/>
      <c r="AI965"/>
      <c r="AJ965"/>
      <c r="AK965"/>
      <c r="AL965"/>
      <c r="AM965"/>
      <c r="AN965"/>
      <c r="AO965"/>
      <c r="AP965"/>
      <c r="AQ965"/>
      <c r="AR965"/>
      <c r="AS965"/>
      <c r="AT965"/>
      <c r="AU965"/>
      <c r="AV965"/>
      <c r="AW965"/>
      <c r="AX965"/>
      <c r="AY965"/>
      <c r="AZ965"/>
      <c r="BA965"/>
      <c r="BB965"/>
      <c r="BC965"/>
      <c r="BD965"/>
      <c r="BE965"/>
      <c r="BF965"/>
      <c r="BG965"/>
      <c r="BH965"/>
      <c r="BI965"/>
      <c r="BJ965"/>
      <c r="BK965"/>
      <c r="BL965"/>
      <c r="BM965"/>
      <c r="BN965"/>
      <c r="BO965"/>
      <c r="BP965"/>
      <c r="BQ965"/>
      <c r="BR965"/>
      <c r="BS965"/>
      <c r="BT965"/>
      <c r="BU965"/>
      <c r="BV965"/>
      <c r="BW965"/>
      <c r="BX965"/>
      <c r="BY965"/>
      <c r="BZ965"/>
    </row>
    <row r="966" spans="4:78" x14ac:dyDescent="0.25">
      <c r="D966"/>
      <c r="E966"/>
      <c r="F966"/>
      <c r="G966"/>
      <c r="H966"/>
      <c r="I966"/>
      <c r="J966"/>
      <c r="K966"/>
      <c r="L966"/>
      <c r="M966"/>
      <c r="N966"/>
      <c r="O966"/>
      <c r="P966"/>
      <c r="Q966"/>
      <c r="R966"/>
      <c r="S966"/>
      <c r="T966"/>
      <c r="U966"/>
      <c r="V966"/>
      <c r="W966"/>
      <c r="X966"/>
      <c r="Y966"/>
      <c r="Z966"/>
      <c r="AA966"/>
      <c r="AB966"/>
      <c r="AC966"/>
      <c r="AD966"/>
      <c r="AE966"/>
      <c r="AF966"/>
      <c r="AG966"/>
      <c r="AH966"/>
      <c r="AI966"/>
      <c r="AJ966"/>
      <c r="AK966"/>
      <c r="AL966"/>
      <c r="AM966"/>
      <c r="AN966"/>
      <c r="AO966"/>
      <c r="AP966"/>
      <c r="AQ966"/>
      <c r="AR966"/>
      <c r="AS966"/>
      <c r="AT966"/>
      <c r="AU966"/>
      <c r="AV966"/>
      <c r="AW966"/>
      <c r="AX966"/>
      <c r="AY966"/>
      <c r="AZ966"/>
      <c r="BA966"/>
      <c r="BB966"/>
      <c r="BC966"/>
      <c r="BD966"/>
      <c r="BE966"/>
      <c r="BF966"/>
      <c r="BG966"/>
      <c r="BH966"/>
      <c r="BI966"/>
      <c r="BJ966"/>
      <c r="BK966"/>
      <c r="BL966"/>
      <c r="BM966"/>
      <c r="BN966"/>
      <c r="BO966"/>
      <c r="BP966"/>
      <c r="BQ966"/>
      <c r="BR966"/>
      <c r="BS966"/>
      <c r="BT966"/>
      <c r="BU966"/>
      <c r="BV966"/>
      <c r="BW966"/>
      <c r="BX966"/>
      <c r="BY966"/>
      <c r="BZ966"/>
    </row>
    <row r="967" spans="4:78" x14ac:dyDescent="0.25">
      <c r="D967"/>
      <c r="E967"/>
      <c r="F967"/>
      <c r="G967"/>
      <c r="H967"/>
      <c r="I967"/>
      <c r="J967"/>
      <c r="K967"/>
      <c r="L967"/>
      <c r="M967"/>
      <c r="N967"/>
      <c r="O967"/>
      <c r="P967"/>
      <c r="Q967"/>
      <c r="R967"/>
      <c r="S967"/>
      <c r="T967"/>
      <c r="U967"/>
      <c r="V967"/>
      <c r="W967"/>
      <c r="X967"/>
      <c r="Y967"/>
      <c r="Z967"/>
      <c r="AA967"/>
      <c r="AB967"/>
      <c r="AC967"/>
      <c r="AD967"/>
      <c r="AE967"/>
      <c r="AF967"/>
      <c r="AG967"/>
      <c r="AH967"/>
      <c r="AI967"/>
      <c r="AJ967"/>
      <c r="AK967"/>
      <c r="AL967"/>
      <c r="AM967"/>
      <c r="AN967"/>
      <c r="AO967"/>
      <c r="AP967"/>
      <c r="AQ967"/>
      <c r="AR967"/>
      <c r="AS967"/>
      <c r="AT967"/>
      <c r="AU967"/>
      <c r="AV967"/>
      <c r="AW967"/>
      <c r="AX967"/>
      <c r="AY967"/>
      <c r="AZ967"/>
      <c r="BA967"/>
      <c r="BB967"/>
      <c r="BC967"/>
      <c r="BD967"/>
      <c r="BE967"/>
      <c r="BF967"/>
      <c r="BG967"/>
      <c r="BH967"/>
      <c r="BI967"/>
      <c r="BJ967"/>
      <c r="BK967"/>
      <c r="BL967"/>
      <c r="BM967"/>
      <c r="BN967"/>
      <c r="BO967"/>
      <c r="BP967"/>
      <c r="BQ967"/>
      <c r="BR967"/>
      <c r="BS967"/>
      <c r="BT967"/>
      <c r="BU967"/>
      <c r="BV967"/>
      <c r="BW967"/>
      <c r="BX967"/>
      <c r="BY967"/>
      <c r="BZ967"/>
    </row>
    <row r="968" spans="4:78" x14ac:dyDescent="0.25">
      <c r="D968"/>
      <c r="E968"/>
      <c r="F968"/>
      <c r="G968"/>
      <c r="H968"/>
      <c r="I968"/>
      <c r="J968"/>
      <c r="K968"/>
      <c r="L968"/>
      <c r="M968"/>
      <c r="N968"/>
      <c r="O968"/>
      <c r="P968"/>
      <c r="Q968"/>
      <c r="R968"/>
      <c r="S968"/>
      <c r="T968"/>
      <c r="U968"/>
      <c r="V968"/>
      <c r="W968"/>
      <c r="X968"/>
      <c r="Y968"/>
      <c r="Z968"/>
      <c r="AA968"/>
      <c r="AB968"/>
      <c r="AC968"/>
      <c r="AD968"/>
      <c r="AE968"/>
      <c r="AF968"/>
      <c r="AG968"/>
      <c r="AH968"/>
      <c r="AI968"/>
      <c r="AJ968"/>
      <c r="AK968"/>
      <c r="AL968"/>
      <c r="AM968"/>
      <c r="AN968"/>
      <c r="AO968"/>
      <c r="AP968"/>
      <c r="AQ968"/>
      <c r="AR968"/>
      <c r="AS968"/>
      <c r="AT968"/>
      <c r="AU968"/>
      <c r="AV968"/>
      <c r="AW968"/>
      <c r="AX968"/>
      <c r="AY968"/>
      <c r="AZ968"/>
      <c r="BA968"/>
      <c r="BB968"/>
      <c r="BC968"/>
      <c r="BD968"/>
      <c r="BE968"/>
      <c r="BF968"/>
      <c r="BG968"/>
      <c r="BH968"/>
      <c r="BI968"/>
      <c r="BJ968"/>
      <c r="BK968"/>
      <c r="BL968"/>
      <c r="BM968"/>
      <c r="BN968"/>
      <c r="BO968"/>
      <c r="BP968"/>
      <c r="BQ968"/>
      <c r="BR968"/>
      <c r="BS968"/>
      <c r="BT968"/>
      <c r="BU968"/>
      <c r="BV968"/>
      <c r="BW968"/>
      <c r="BX968"/>
      <c r="BY968"/>
      <c r="BZ968"/>
    </row>
    <row r="969" spans="4:78" x14ac:dyDescent="0.25">
      <c r="D969"/>
      <c r="E969"/>
      <c r="F969"/>
      <c r="G969"/>
      <c r="H969"/>
      <c r="I969"/>
      <c r="J969"/>
      <c r="K969"/>
      <c r="L969"/>
      <c r="M969"/>
      <c r="N969"/>
      <c r="O969"/>
      <c r="P969"/>
      <c r="Q969"/>
      <c r="R969"/>
      <c r="S969"/>
      <c r="T969"/>
      <c r="U969"/>
      <c r="V969"/>
      <c r="W969"/>
      <c r="X969"/>
      <c r="Y969"/>
      <c r="Z969"/>
      <c r="AA969"/>
      <c r="AB969"/>
      <c r="AC969"/>
      <c r="AD969"/>
      <c r="AE969"/>
      <c r="AF969"/>
      <c r="AG969"/>
      <c r="AH969"/>
      <c r="AI969"/>
      <c r="AJ969"/>
      <c r="AK969"/>
      <c r="AL969"/>
      <c r="AM969"/>
      <c r="AN969"/>
      <c r="AO969"/>
      <c r="AP969"/>
      <c r="AQ969"/>
      <c r="AR969"/>
      <c r="AS969"/>
      <c r="AT969"/>
      <c r="AU969"/>
      <c r="AV969"/>
      <c r="AW969"/>
      <c r="AX969"/>
      <c r="AY969"/>
      <c r="AZ969"/>
      <c r="BA969"/>
      <c r="BB969"/>
      <c r="BC969"/>
      <c r="BD969"/>
      <c r="BE969"/>
      <c r="BF969"/>
      <c r="BG969"/>
      <c r="BH969"/>
      <c r="BI969"/>
      <c r="BJ969"/>
      <c r="BK969"/>
      <c r="BL969"/>
      <c r="BM969"/>
      <c r="BN969"/>
      <c r="BO969"/>
      <c r="BP969"/>
      <c r="BQ969"/>
      <c r="BR969"/>
      <c r="BS969"/>
      <c r="BT969"/>
      <c r="BU969"/>
      <c r="BV969"/>
      <c r="BW969"/>
      <c r="BX969"/>
      <c r="BY969"/>
      <c r="BZ969"/>
    </row>
    <row r="970" spans="4:78" x14ac:dyDescent="0.25">
      <c r="D970"/>
      <c r="E970"/>
      <c r="F970"/>
      <c r="G970"/>
      <c r="H970"/>
      <c r="I970"/>
      <c r="J970"/>
      <c r="K970"/>
      <c r="L970"/>
      <c r="M970"/>
      <c r="N970"/>
      <c r="O970"/>
      <c r="P970"/>
      <c r="Q970"/>
      <c r="R970"/>
      <c r="S970"/>
      <c r="T970"/>
      <c r="U970"/>
      <c r="V970"/>
      <c r="W970"/>
      <c r="X970"/>
      <c r="Y970"/>
      <c r="Z970"/>
      <c r="AA970"/>
      <c r="AB970"/>
      <c r="AC970"/>
      <c r="AD970"/>
      <c r="AE970"/>
      <c r="AF970"/>
      <c r="AG970"/>
      <c r="AH970"/>
      <c r="AI970"/>
      <c r="AJ970"/>
      <c r="AK970"/>
      <c r="AL970"/>
      <c r="AM970"/>
      <c r="AN970"/>
      <c r="AO970"/>
      <c r="AP970"/>
      <c r="AQ970"/>
      <c r="AR970"/>
      <c r="AS970"/>
      <c r="AT970"/>
      <c r="AU970"/>
      <c r="AV970"/>
      <c r="AW970"/>
      <c r="AX970"/>
      <c r="AY970"/>
      <c r="AZ970"/>
      <c r="BA970"/>
      <c r="BB970"/>
      <c r="BC970"/>
      <c r="BD970"/>
      <c r="BE970"/>
      <c r="BF970"/>
      <c r="BG970"/>
      <c r="BH970"/>
      <c r="BI970"/>
      <c r="BJ970"/>
      <c r="BK970"/>
      <c r="BL970"/>
      <c r="BM970"/>
      <c r="BN970"/>
      <c r="BO970"/>
      <c r="BP970"/>
      <c r="BQ970"/>
      <c r="BR970"/>
      <c r="BS970"/>
      <c r="BT970"/>
      <c r="BU970"/>
      <c r="BV970"/>
      <c r="BW970"/>
      <c r="BX970"/>
      <c r="BY970"/>
      <c r="BZ970"/>
    </row>
    <row r="971" spans="4:78" x14ac:dyDescent="0.25">
      <c r="D971"/>
      <c r="E971"/>
      <c r="F971"/>
      <c r="G971"/>
      <c r="H971"/>
      <c r="I971"/>
      <c r="J971"/>
      <c r="K971"/>
      <c r="L971"/>
      <c r="M971"/>
      <c r="N971"/>
      <c r="O971"/>
      <c r="P971"/>
      <c r="Q971"/>
      <c r="R971"/>
      <c r="S971"/>
      <c r="T971"/>
      <c r="U971"/>
      <c r="V971"/>
      <c r="W971"/>
      <c r="X971"/>
      <c r="Y971"/>
      <c r="Z971"/>
      <c r="AA971"/>
      <c r="AB971"/>
      <c r="AC971"/>
      <c r="AD971"/>
      <c r="AE971"/>
      <c r="AF971"/>
      <c r="AG971"/>
      <c r="AH971"/>
      <c r="AI971"/>
      <c r="AJ971"/>
      <c r="AK971"/>
      <c r="AL971"/>
      <c r="AM971"/>
      <c r="AN971"/>
      <c r="AO971"/>
      <c r="AP971"/>
      <c r="AQ971"/>
      <c r="AR971"/>
      <c r="AS971"/>
      <c r="AT971"/>
      <c r="AU971"/>
      <c r="AV971"/>
      <c r="AW971"/>
      <c r="AX971"/>
      <c r="AY971"/>
      <c r="AZ971"/>
      <c r="BA971"/>
      <c r="BB971"/>
      <c r="BC971"/>
      <c r="BD971"/>
      <c r="BE971"/>
      <c r="BF971"/>
      <c r="BG971"/>
      <c r="BH971"/>
      <c r="BI971"/>
      <c r="BJ971"/>
      <c r="BK971"/>
      <c r="BL971"/>
      <c r="BM971"/>
      <c r="BN971"/>
      <c r="BO971"/>
      <c r="BP971"/>
      <c r="BQ971"/>
      <c r="BR971"/>
      <c r="BS971"/>
      <c r="BT971"/>
      <c r="BU971"/>
      <c r="BV971"/>
      <c r="BW971"/>
      <c r="BX971"/>
      <c r="BY971"/>
      <c r="BZ971"/>
    </row>
    <row r="972" spans="4:78" x14ac:dyDescent="0.25">
      <c r="D972"/>
      <c r="E972"/>
      <c r="F972"/>
      <c r="G972"/>
      <c r="H972"/>
      <c r="I972"/>
      <c r="J972"/>
      <c r="K972"/>
      <c r="L972"/>
      <c r="M972"/>
      <c r="N972"/>
      <c r="O972"/>
      <c r="P972"/>
      <c r="Q972"/>
      <c r="R972"/>
      <c r="S972"/>
      <c r="T972"/>
      <c r="U972"/>
      <c r="V972"/>
      <c r="W972"/>
      <c r="X972"/>
      <c r="Y972"/>
      <c r="Z972"/>
      <c r="AA972"/>
      <c r="AB972"/>
      <c r="AC972"/>
      <c r="AD972"/>
      <c r="AE972"/>
      <c r="AF972"/>
      <c r="AG972"/>
      <c r="AH972"/>
      <c r="AI972"/>
      <c r="AJ972"/>
      <c r="AK972"/>
      <c r="AL972"/>
      <c r="AM972"/>
      <c r="AN972"/>
      <c r="AO972"/>
      <c r="AP972"/>
      <c r="AQ972"/>
      <c r="AR972"/>
      <c r="AS972"/>
      <c r="AT972"/>
      <c r="AU972"/>
      <c r="AV972"/>
      <c r="AW972"/>
      <c r="AX972"/>
      <c r="AY972"/>
      <c r="AZ972"/>
      <c r="BA972"/>
      <c r="BB972"/>
      <c r="BC972"/>
      <c r="BD972"/>
      <c r="BE972"/>
      <c r="BF972"/>
      <c r="BG972"/>
      <c r="BH972"/>
      <c r="BI972"/>
      <c r="BJ972"/>
      <c r="BK972"/>
      <c r="BL972"/>
      <c r="BM972"/>
      <c r="BN972"/>
      <c r="BO972"/>
      <c r="BP972"/>
      <c r="BQ972"/>
      <c r="BR972"/>
      <c r="BS972"/>
      <c r="BT972"/>
      <c r="BU972"/>
      <c r="BV972"/>
      <c r="BW972"/>
      <c r="BX972"/>
      <c r="BY972"/>
      <c r="BZ972"/>
    </row>
    <row r="973" spans="4:78" x14ac:dyDescent="0.25">
      <c r="D973"/>
      <c r="E973"/>
      <c r="F973"/>
      <c r="G973"/>
      <c r="H973"/>
      <c r="I973"/>
      <c r="J973"/>
      <c r="K973"/>
      <c r="L973"/>
      <c r="M973"/>
      <c r="N973"/>
      <c r="O973"/>
      <c r="P973"/>
      <c r="Q973"/>
      <c r="R973"/>
      <c r="S973"/>
      <c r="T973"/>
      <c r="U973"/>
      <c r="V973"/>
      <c r="W973"/>
      <c r="X973"/>
      <c r="Y973"/>
      <c r="Z973"/>
      <c r="AA973"/>
      <c r="AB973"/>
      <c r="AC973"/>
      <c r="AD973"/>
      <c r="AE973"/>
      <c r="AF973"/>
      <c r="AG973"/>
      <c r="AH973"/>
      <c r="AI973"/>
      <c r="AJ973"/>
      <c r="AK973"/>
      <c r="AL973"/>
      <c r="AM973"/>
      <c r="AN973"/>
      <c r="AO973"/>
      <c r="AP973"/>
      <c r="AQ973"/>
      <c r="AR973"/>
      <c r="AS973"/>
      <c r="AT973"/>
      <c r="AU973"/>
      <c r="AV973"/>
      <c r="AW973"/>
      <c r="AX973"/>
      <c r="AY973"/>
      <c r="AZ973"/>
      <c r="BA973"/>
      <c r="BB973"/>
      <c r="BC973"/>
      <c r="BD973"/>
      <c r="BE973"/>
      <c r="BF973"/>
      <c r="BG973"/>
      <c r="BH973"/>
      <c r="BI973"/>
      <c r="BJ973"/>
      <c r="BK973"/>
      <c r="BL973"/>
      <c r="BM973"/>
      <c r="BN973"/>
      <c r="BO973"/>
      <c r="BP973"/>
      <c r="BQ973"/>
      <c r="BR973"/>
      <c r="BS973"/>
      <c r="BT973"/>
      <c r="BU973"/>
      <c r="BV973"/>
      <c r="BW973"/>
      <c r="BX973"/>
      <c r="BY973"/>
      <c r="BZ973"/>
    </row>
    <row r="974" spans="4:78" x14ac:dyDescent="0.25">
      <c r="D974"/>
      <c r="E974"/>
      <c r="F974"/>
      <c r="G974"/>
      <c r="H974"/>
      <c r="I974"/>
      <c r="J974"/>
      <c r="K974"/>
      <c r="L974"/>
      <c r="M974"/>
      <c r="N974"/>
      <c r="O974"/>
      <c r="P974"/>
      <c r="Q974"/>
      <c r="R974"/>
      <c r="S974"/>
      <c r="T974"/>
      <c r="U974"/>
      <c r="V974"/>
      <c r="W974"/>
      <c r="X974"/>
      <c r="Y974"/>
      <c r="Z974"/>
      <c r="AA974"/>
      <c r="AB974"/>
      <c r="AC974"/>
      <c r="AD974"/>
      <c r="AE974"/>
      <c r="AF974"/>
      <c r="AG974"/>
      <c r="AH974"/>
      <c r="AI974"/>
      <c r="AJ974"/>
      <c r="AK974"/>
      <c r="AL974"/>
      <c r="AM974"/>
      <c r="AN974"/>
      <c r="AO974"/>
      <c r="AP974"/>
      <c r="AQ974"/>
      <c r="AR974"/>
      <c r="AS974"/>
      <c r="AT974"/>
      <c r="AU974"/>
      <c r="AV974"/>
      <c r="AW974"/>
      <c r="AX974"/>
      <c r="AY974"/>
      <c r="AZ974"/>
      <c r="BA974"/>
      <c r="BB974"/>
      <c r="BC974"/>
      <c r="BD974"/>
      <c r="BE974"/>
      <c r="BF974"/>
      <c r="BG974"/>
      <c r="BH974"/>
      <c r="BI974"/>
      <c r="BJ974"/>
      <c r="BK974"/>
      <c r="BL974"/>
      <c r="BM974"/>
      <c r="BN974"/>
      <c r="BO974"/>
      <c r="BP974"/>
      <c r="BQ974"/>
      <c r="BR974"/>
      <c r="BS974"/>
      <c r="BT974"/>
      <c r="BU974"/>
      <c r="BV974"/>
      <c r="BW974"/>
      <c r="BX974"/>
      <c r="BY974"/>
      <c r="BZ974"/>
    </row>
    <row r="975" spans="4:78" x14ac:dyDescent="0.25">
      <c r="D975"/>
      <c r="E975"/>
      <c r="F975"/>
      <c r="G975"/>
      <c r="H975"/>
      <c r="I975"/>
      <c r="J975"/>
      <c r="K975"/>
      <c r="L975"/>
      <c r="M975"/>
      <c r="N975"/>
      <c r="O975"/>
      <c r="P975"/>
      <c r="Q975"/>
      <c r="R975"/>
      <c r="S975"/>
      <c r="T975"/>
      <c r="U975"/>
      <c r="V975"/>
      <c r="W975"/>
      <c r="X975"/>
      <c r="Y975"/>
      <c r="Z975"/>
      <c r="AA975"/>
      <c r="AB975"/>
      <c r="AC975"/>
      <c r="AD975"/>
      <c r="AE975"/>
      <c r="AF975"/>
      <c r="AG975"/>
      <c r="AH975"/>
      <c r="AI975"/>
      <c r="AJ975"/>
      <c r="AK975"/>
      <c r="AL975"/>
      <c r="AM975"/>
      <c r="AN975"/>
      <c r="AO975"/>
      <c r="AP975"/>
      <c r="AQ975"/>
      <c r="AR975"/>
      <c r="AS975"/>
      <c r="AT975"/>
      <c r="AU975"/>
      <c r="AV975"/>
      <c r="AW975"/>
      <c r="AX975"/>
      <c r="AY975"/>
      <c r="AZ975"/>
      <c r="BA975"/>
      <c r="BB975"/>
      <c r="BC975"/>
      <c r="BD975"/>
      <c r="BE975"/>
      <c r="BF975"/>
      <c r="BG975"/>
      <c r="BH975"/>
      <c r="BI975"/>
      <c r="BJ975"/>
      <c r="BK975"/>
      <c r="BL975"/>
      <c r="BM975"/>
      <c r="BN975"/>
      <c r="BO975"/>
      <c r="BP975"/>
      <c r="BQ975"/>
      <c r="BR975"/>
      <c r="BS975"/>
      <c r="BT975"/>
      <c r="BU975"/>
      <c r="BV975"/>
      <c r="BW975"/>
      <c r="BX975"/>
      <c r="BY975"/>
      <c r="BZ975"/>
    </row>
    <row r="976" spans="4:78" x14ac:dyDescent="0.25">
      <c r="D976"/>
      <c r="E976"/>
      <c r="F976"/>
      <c r="G976"/>
      <c r="H976"/>
      <c r="I976"/>
      <c r="J976"/>
      <c r="K976"/>
      <c r="L976"/>
      <c r="M976"/>
      <c r="N976"/>
      <c r="O976"/>
      <c r="P976"/>
      <c r="Q976"/>
      <c r="R976"/>
      <c r="S976"/>
      <c r="T976"/>
      <c r="U976"/>
      <c r="V976"/>
      <c r="W976"/>
      <c r="X976"/>
      <c r="Y976"/>
      <c r="Z976"/>
      <c r="AA976"/>
      <c r="AB976"/>
      <c r="AC976"/>
      <c r="AD976"/>
      <c r="AE976"/>
      <c r="AF976"/>
      <c r="AG976"/>
      <c r="AH976"/>
      <c r="AI976"/>
      <c r="AJ976"/>
      <c r="AK976"/>
      <c r="AL976"/>
      <c r="AM976"/>
      <c r="AN976"/>
      <c r="AO976"/>
      <c r="AP976"/>
      <c r="AQ976"/>
      <c r="AR976"/>
      <c r="AS976"/>
      <c r="AT976"/>
      <c r="AU976"/>
      <c r="AV976"/>
      <c r="AW976"/>
      <c r="AX976"/>
      <c r="AY976"/>
      <c r="AZ976"/>
      <c r="BA976"/>
      <c r="BB976"/>
      <c r="BC976"/>
      <c r="BD976"/>
      <c r="BE976"/>
      <c r="BF976"/>
      <c r="BG976"/>
      <c r="BH976"/>
      <c r="BI976"/>
      <c r="BJ976"/>
      <c r="BK976"/>
      <c r="BL976"/>
      <c r="BM976"/>
      <c r="BN976"/>
      <c r="BO976"/>
      <c r="BP976"/>
      <c r="BQ976"/>
      <c r="BR976"/>
      <c r="BS976"/>
      <c r="BT976"/>
      <c r="BU976"/>
      <c r="BV976"/>
      <c r="BW976"/>
      <c r="BX976"/>
      <c r="BY976"/>
      <c r="BZ976"/>
    </row>
    <row r="977" spans="4:78" x14ac:dyDescent="0.25">
      <c r="D977"/>
      <c r="E977"/>
      <c r="F977"/>
      <c r="G977"/>
      <c r="H977"/>
      <c r="I977"/>
      <c r="J977"/>
      <c r="K977"/>
      <c r="L977"/>
      <c r="M977"/>
      <c r="N977"/>
      <c r="O977"/>
      <c r="P977"/>
      <c r="Q977"/>
      <c r="R977"/>
      <c r="S977"/>
      <c r="T977"/>
      <c r="U977"/>
      <c r="V977"/>
      <c r="W977"/>
      <c r="X977"/>
      <c r="Y977"/>
      <c r="Z977"/>
      <c r="AA977"/>
      <c r="AB977"/>
      <c r="AC977"/>
      <c r="AD977"/>
      <c r="AE977"/>
      <c r="AF977"/>
      <c r="AG977"/>
      <c r="AH977"/>
      <c r="AI977"/>
      <c r="AJ977"/>
      <c r="AK977"/>
      <c r="AL977"/>
      <c r="AM977"/>
      <c r="AN977"/>
      <c r="AO977"/>
      <c r="AP977"/>
      <c r="AQ977"/>
      <c r="AR977"/>
      <c r="AS977"/>
      <c r="AT977"/>
      <c r="AU977"/>
      <c r="AV977"/>
      <c r="AW977"/>
      <c r="AX977"/>
      <c r="AY977"/>
      <c r="AZ977"/>
      <c r="BA977"/>
      <c r="BB977"/>
      <c r="BC977"/>
      <c r="BD977"/>
      <c r="BE977"/>
      <c r="BF977"/>
      <c r="BG977"/>
      <c r="BH977"/>
      <c r="BI977"/>
      <c r="BJ977"/>
      <c r="BK977"/>
      <c r="BL977"/>
      <c r="BM977"/>
      <c r="BN977"/>
      <c r="BO977"/>
      <c r="BP977"/>
      <c r="BQ977"/>
      <c r="BR977"/>
      <c r="BS977"/>
      <c r="BT977"/>
      <c r="BU977"/>
      <c r="BV977"/>
      <c r="BW977"/>
      <c r="BX977"/>
      <c r="BY977"/>
      <c r="BZ977"/>
    </row>
    <row r="978" spans="4:78" x14ac:dyDescent="0.25">
      <c r="D978"/>
      <c r="E978"/>
      <c r="F978"/>
      <c r="G978"/>
      <c r="H978"/>
      <c r="I978"/>
      <c r="J978"/>
      <c r="K978"/>
      <c r="L978"/>
      <c r="M978"/>
      <c r="N978"/>
      <c r="O978"/>
      <c r="P978"/>
      <c r="Q978"/>
      <c r="R978"/>
      <c r="S978"/>
      <c r="T978"/>
      <c r="U978"/>
      <c r="V978"/>
      <c r="W978"/>
      <c r="X978"/>
      <c r="Y978"/>
      <c r="Z978"/>
      <c r="AA978"/>
      <c r="AB978"/>
      <c r="AC978"/>
      <c r="AD978"/>
      <c r="AE978"/>
      <c r="AF978"/>
      <c r="AG978"/>
      <c r="AH978"/>
      <c r="AI978"/>
      <c r="AJ978"/>
      <c r="AK978"/>
      <c r="AL978"/>
      <c r="AM978"/>
      <c r="AN978"/>
      <c r="AO978"/>
      <c r="AP978"/>
      <c r="AQ978"/>
      <c r="AR978"/>
      <c r="AS978"/>
      <c r="AT978"/>
      <c r="AU978"/>
      <c r="AV978"/>
      <c r="AW978"/>
      <c r="AX978"/>
      <c r="AY978"/>
      <c r="AZ978"/>
      <c r="BA978"/>
      <c r="BB978"/>
      <c r="BC978"/>
      <c r="BD978"/>
      <c r="BE978"/>
      <c r="BF978"/>
      <c r="BG978"/>
      <c r="BH978"/>
      <c r="BI978"/>
      <c r="BJ978"/>
      <c r="BK978"/>
      <c r="BL978"/>
      <c r="BM978"/>
      <c r="BN978"/>
      <c r="BO978"/>
      <c r="BP978"/>
      <c r="BQ978"/>
      <c r="BR978"/>
      <c r="BS978"/>
      <c r="BT978"/>
      <c r="BU978"/>
      <c r="BV978"/>
      <c r="BW978"/>
      <c r="BX978"/>
      <c r="BY978"/>
      <c r="BZ978"/>
    </row>
    <row r="979" spans="4:78" x14ac:dyDescent="0.25">
      <c r="D979"/>
      <c r="E979"/>
      <c r="F979"/>
      <c r="G979"/>
      <c r="H979"/>
      <c r="I979"/>
      <c r="J979"/>
      <c r="K979"/>
      <c r="L979"/>
      <c r="M979"/>
      <c r="N979"/>
      <c r="O979"/>
      <c r="P979"/>
      <c r="Q979"/>
      <c r="R979"/>
      <c r="S979"/>
      <c r="T979"/>
      <c r="U979"/>
      <c r="V979"/>
      <c r="W979"/>
      <c r="X979"/>
      <c r="Y979"/>
      <c r="Z979"/>
      <c r="AA979"/>
      <c r="AB979"/>
      <c r="AC979"/>
      <c r="AD979"/>
      <c r="AE979"/>
      <c r="AF979"/>
      <c r="AG979"/>
      <c r="AH979"/>
      <c r="AI979"/>
      <c r="AJ979"/>
      <c r="AK979"/>
      <c r="AL979"/>
      <c r="AM979"/>
      <c r="AN979"/>
      <c r="AO979"/>
      <c r="AP979"/>
      <c r="AQ979"/>
      <c r="AR979"/>
      <c r="AS979"/>
      <c r="AT979"/>
      <c r="AU979"/>
      <c r="AV979"/>
      <c r="AW979"/>
      <c r="AX979"/>
      <c r="AY979"/>
      <c r="AZ979"/>
      <c r="BA979"/>
      <c r="BB979"/>
      <c r="BC979"/>
      <c r="BD979"/>
      <c r="BE979"/>
      <c r="BF979"/>
      <c r="BG979"/>
      <c r="BH979"/>
      <c r="BI979"/>
      <c r="BJ979"/>
      <c r="BK979"/>
      <c r="BL979"/>
      <c r="BM979"/>
      <c r="BN979"/>
      <c r="BO979"/>
      <c r="BP979"/>
      <c r="BQ979"/>
      <c r="BR979"/>
      <c r="BS979"/>
      <c r="BT979"/>
      <c r="BU979"/>
      <c r="BV979"/>
      <c r="BW979"/>
      <c r="BX979"/>
      <c r="BY979"/>
      <c r="BZ979"/>
    </row>
    <row r="980" spans="4:78" x14ac:dyDescent="0.25">
      <c r="D980"/>
      <c r="E980"/>
      <c r="F980"/>
      <c r="G980"/>
      <c r="H980"/>
      <c r="I980"/>
      <c r="J980"/>
      <c r="K980"/>
      <c r="L980"/>
      <c r="M980"/>
      <c r="N980"/>
      <c r="O980"/>
      <c r="P980"/>
      <c r="Q980"/>
      <c r="R980"/>
      <c r="S980"/>
      <c r="T980"/>
      <c r="U980"/>
      <c r="V980"/>
      <c r="W980"/>
      <c r="X980"/>
      <c r="Y980"/>
      <c r="Z980"/>
      <c r="AA980"/>
      <c r="AB980"/>
      <c r="AC980"/>
      <c r="AD980"/>
      <c r="AE980"/>
      <c r="AF980"/>
      <c r="AG980"/>
      <c r="AH980"/>
      <c r="AI980"/>
      <c r="AJ980"/>
      <c r="AK980"/>
      <c r="AL980"/>
      <c r="AM980"/>
      <c r="AN980"/>
      <c r="AO980"/>
      <c r="AP980"/>
      <c r="AQ980"/>
      <c r="AR980"/>
      <c r="AS980"/>
      <c r="AT980"/>
      <c r="AU980"/>
      <c r="AV980"/>
      <c r="AW980"/>
      <c r="AX980"/>
      <c r="AY980"/>
      <c r="AZ980"/>
      <c r="BA980"/>
      <c r="BB980"/>
      <c r="BC980"/>
      <c r="BD980"/>
      <c r="BE980"/>
      <c r="BF980"/>
      <c r="BG980"/>
      <c r="BH980"/>
      <c r="BI980"/>
      <c r="BJ980"/>
      <c r="BK980"/>
      <c r="BL980"/>
      <c r="BM980"/>
      <c r="BN980"/>
      <c r="BO980"/>
      <c r="BP980"/>
      <c r="BQ980"/>
      <c r="BR980"/>
      <c r="BS980"/>
      <c r="BT980"/>
      <c r="BU980"/>
      <c r="BV980"/>
      <c r="BW980"/>
      <c r="BX980"/>
      <c r="BY980"/>
      <c r="BZ980"/>
    </row>
    <row r="981" spans="4:78" x14ac:dyDescent="0.25">
      <c r="D981"/>
      <c r="E981"/>
      <c r="F981"/>
      <c r="G981"/>
      <c r="H981"/>
      <c r="I981"/>
      <c r="J981"/>
      <c r="K981"/>
      <c r="L981"/>
      <c r="M981"/>
      <c r="N981"/>
      <c r="O981"/>
      <c r="P981"/>
      <c r="Q981"/>
      <c r="R981"/>
      <c r="S981"/>
      <c r="T981"/>
      <c r="U981"/>
      <c r="V981"/>
      <c r="W981"/>
      <c r="X981"/>
      <c r="Y981"/>
      <c r="Z981"/>
      <c r="AA981"/>
      <c r="AB981"/>
      <c r="AC981"/>
      <c r="AD981"/>
      <c r="AE981"/>
      <c r="AF981"/>
      <c r="AG981"/>
      <c r="AH981"/>
      <c r="AI981"/>
      <c r="AJ981"/>
      <c r="AK981"/>
      <c r="AL981"/>
      <c r="AM981"/>
      <c r="AN981"/>
      <c r="AO981"/>
      <c r="AP981"/>
      <c r="AQ981"/>
      <c r="AR981"/>
      <c r="AS981"/>
      <c r="AT981"/>
      <c r="AU981"/>
      <c r="AV981"/>
      <c r="AW981"/>
      <c r="AX981"/>
      <c r="AY981"/>
      <c r="AZ981"/>
      <c r="BA981"/>
      <c r="BB981"/>
      <c r="BC981"/>
      <c r="BD981"/>
      <c r="BE981"/>
      <c r="BF981"/>
      <c r="BG981"/>
      <c r="BH981"/>
      <c r="BI981"/>
      <c r="BJ981"/>
      <c r="BK981"/>
      <c r="BL981"/>
      <c r="BM981"/>
      <c r="BN981"/>
      <c r="BO981"/>
      <c r="BP981"/>
      <c r="BQ981"/>
      <c r="BR981"/>
      <c r="BS981"/>
      <c r="BT981"/>
      <c r="BU981"/>
      <c r="BV981"/>
      <c r="BW981"/>
      <c r="BX981"/>
      <c r="BY981"/>
      <c r="BZ981"/>
    </row>
    <row r="982" spans="4:78" x14ac:dyDescent="0.25">
      <c r="D982"/>
      <c r="E982"/>
      <c r="F982"/>
      <c r="G982"/>
      <c r="H982"/>
      <c r="I982"/>
      <c r="J982"/>
      <c r="K982"/>
      <c r="L982"/>
      <c r="M982"/>
      <c r="N982"/>
      <c r="O982"/>
      <c r="P982"/>
      <c r="Q982"/>
      <c r="R982"/>
      <c r="S982"/>
      <c r="T982"/>
      <c r="U982"/>
      <c r="V982"/>
      <c r="W982"/>
      <c r="X982"/>
      <c r="Y982"/>
      <c r="Z982"/>
      <c r="AA982"/>
      <c r="AB982"/>
      <c r="AC982"/>
      <c r="AD982"/>
      <c r="AE982"/>
      <c r="AF982"/>
      <c r="AG982"/>
      <c r="AH982"/>
      <c r="AI982"/>
      <c r="AJ982"/>
      <c r="AK982"/>
      <c r="AL982"/>
      <c r="AM982"/>
      <c r="AN982"/>
      <c r="AO982"/>
      <c r="AP982"/>
      <c r="AQ982"/>
      <c r="AR982"/>
      <c r="AS982"/>
      <c r="AT982"/>
      <c r="AU982"/>
      <c r="AV982"/>
      <c r="AW982"/>
      <c r="AX982"/>
      <c r="AY982"/>
      <c r="AZ982"/>
      <c r="BA982"/>
      <c r="BB982"/>
      <c r="BC982"/>
      <c r="BD982"/>
      <c r="BE982"/>
      <c r="BF982"/>
      <c r="BG982"/>
      <c r="BH982"/>
      <c r="BI982"/>
      <c r="BJ982"/>
      <c r="BK982"/>
      <c r="BL982"/>
      <c r="BM982"/>
      <c r="BN982"/>
      <c r="BO982"/>
      <c r="BP982"/>
      <c r="BQ982"/>
      <c r="BR982"/>
      <c r="BS982"/>
      <c r="BT982"/>
      <c r="BU982"/>
      <c r="BV982"/>
      <c r="BW982"/>
      <c r="BX982"/>
      <c r="BY982"/>
      <c r="BZ982"/>
    </row>
    <row r="983" spans="4:78" x14ac:dyDescent="0.25">
      <c r="D983"/>
      <c r="E983"/>
      <c r="F983"/>
      <c r="G983"/>
      <c r="H983"/>
      <c r="I983"/>
      <c r="J983"/>
      <c r="K983"/>
      <c r="L983"/>
      <c r="M983"/>
      <c r="N983"/>
      <c r="O983"/>
      <c r="P983"/>
      <c r="Q983"/>
      <c r="R983"/>
      <c r="S983"/>
      <c r="T983"/>
      <c r="U983"/>
      <c r="V983"/>
      <c r="W983"/>
      <c r="X983"/>
      <c r="Y983"/>
      <c r="Z983"/>
      <c r="AA983"/>
      <c r="AB983"/>
      <c r="AC983"/>
      <c r="AD983"/>
      <c r="AE983"/>
      <c r="AF983"/>
      <c r="AG983"/>
      <c r="AH983"/>
      <c r="AI983"/>
      <c r="AJ983"/>
      <c r="AK983"/>
      <c r="AL983"/>
      <c r="AM983"/>
      <c r="AN983"/>
      <c r="AO983"/>
      <c r="AP983"/>
      <c r="AQ983"/>
      <c r="AR983"/>
      <c r="AS983"/>
      <c r="AT983"/>
      <c r="AU983"/>
      <c r="AV983"/>
      <c r="AW983"/>
      <c r="AX983"/>
      <c r="AY983"/>
      <c r="AZ983"/>
      <c r="BA983"/>
      <c r="BB983"/>
      <c r="BC983"/>
      <c r="BD983"/>
      <c r="BE983"/>
      <c r="BF983"/>
      <c r="BG983"/>
      <c r="BH983"/>
      <c r="BI983"/>
      <c r="BJ983"/>
      <c r="BK983"/>
      <c r="BL983"/>
      <c r="BM983"/>
      <c r="BN983"/>
      <c r="BO983"/>
      <c r="BP983"/>
      <c r="BQ983"/>
      <c r="BR983"/>
      <c r="BS983"/>
      <c r="BT983"/>
      <c r="BU983"/>
      <c r="BV983"/>
      <c r="BW983"/>
      <c r="BX983"/>
      <c r="BY983"/>
      <c r="BZ983"/>
    </row>
    <row r="984" spans="4:78" x14ac:dyDescent="0.25">
      <c r="D984"/>
      <c r="E984"/>
      <c r="F984"/>
      <c r="G984"/>
      <c r="H984"/>
      <c r="I984"/>
      <c r="J984"/>
      <c r="K984"/>
      <c r="L984"/>
      <c r="M984"/>
      <c r="N984"/>
      <c r="O984"/>
      <c r="P984"/>
      <c r="Q984"/>
      <c r="R984"/>
      <c r="S984"/>
      <c r="T984"/>
      <c r="U984"/>
      <c r="V984"/>
      <c r="W984"/>
      <c r="X984"/>
      <c r="Y984"/>
      <c r="Z984"/>
      <c r="AA984"/>
      <c r="AB984"/>
      <c r="AC984"/>
      <c r="AD984"/>
      <c r="AE984"/>
      <c r="AF984"/>
      <c r="AG984"/>
      <c r="AH984"/>
      <c r="AI984"/>
      <c r="AJ984"/>
      <c r="AK984"/>
      <c r="AL984"/>
      <c r="AM984"/>
      <c r="AN984"/>
      <c r="AO984"/>
      <c r="AP984"/>
      <c r="AQ984"/>
      <c r="AR984"/>
      <c r="AS984"/>
      <c r="AT984"/>
      <c r="AU984"/>
      <c r="AV984"/>
      <c r="AW984"/>
      <c r="AX984"/>
      <c r="AY984"/>
      <c r="AZ984"/>
      <c r="BA984"/>
      <c r="BB984"/>
      <c r="BC984"/>
      <c r="BD984"/>
      <c r="BE984"/>
      <c r="BF984"/>
      <c r="BG984"/>
      <c r="BH984"/>
      <c r="BI984"/>
      <c r="BJ984"/>
      <c r="BK984"/>
      <c r="BL984"/>
      <c r="BM984"/>
      <c r="BN984"/>
      <c r="BO984"/>
      <c r="BP984"/>
      <c r="BQ984"/>
      <c r="BR984"/>
      <c r="BS984"/>
      <c r="BT984"/>
      <c r="BU984"/>
      <c r="BV984"/>
      <c r="BW984"/>
      <c r="BX984"/>
      <c r="BY984"/>
      <c r="BZ984"/>
    </row>
    <row r="985" spans="4:78" x14ac:dyDescent="0.25">
      <c r="D985"/>
      <c r="E985"/>
      <c r="F985"/>
      <c r="G985"/>
      <c r="H985"/>
      <c r="I985"/>
      <c r="J985"/>
      <c r="K985"/>
      <c r="L985"/>
      <c r="M985"/>
      <c r="N985"/>
      <c r="O985"/>
      <c r="P985"/>
      <c r="Q985"/>
      <c r="R985"/>
      <c r="S985"/>
      <c r="T985"/>
      <c r="U985"/>
      <c r="V985"/>
      <c r="W985"/>
      <c r="X985"/>
      <c r="Y985"/>
      <c r="Z985"/>
      <c r="AA985"/>
      <c r="AB985"/>
      <c r="AC985"/>
      <c r="AD985"/>
      <c r="AE985"/>
      <c r="AF985"/>
      <c r="AG985"/>
      <c r="AH985"/>
      <c r="AI985"/>
      <c r="AJ985"/>
      <c r="AK985"/>
      <c r="AL985"/>
      <c r="AM985"/>
      <c r="AN985"/>
      <c r="AO985"/>
      <c r="AP985"/>
      <c r="AQ985"/>
      <c r="AR985"/>
      <c r="AS985"/>
      <c r="AT985"/>
      <c r="AU985"/>
      <c r="AV985"/>
      <c r="AW985"/>
      <c r="AX985"/>
      <c r="AY985"/>
      <c r="AZ985"/>
      <c r="BA985"/>
      <c r="BB985"/>
      <c r="BC985"/>
      <c r="BD985"/>
      <c r="BE985"/>
      <c r="BF985"/>
      <c r="BG985"/>
      <c r="BH985"/>
      <c r="BI985"/>
      <c r="BJ985"/>
      <c r="BK985"/>
      <c r="BL985"/>
      <c r="BM985"/>
      <c r="BN985"/>
      <c r="BO985"/>
      <c r="BP985"/>
      <c r="BQ985"/>
      <c r="BR985"/>
      <c r="BS985"/>
      <c r="BT985"/>
      <c r="BU985"/>
      <c r="BV985"/>
      <c r="BW985"/>
      <c r="BX985"/>
      <c r="BY985"/>
      <c r="BZ985"/>
    </row>
    <row r="986" spans="4:78" x14ac:dyDescent="0.25">
      <c r="D986"/>
      <c r="E986"/>
      <c r="F986"/>
      <c r="G986"/>
      <c r="H986"/>
      <c r="I986"/>
      <c r="J986"/>
      <c r="K986"/>
      <c r="L986"/>
      <c r="M986"/>
      <c r="N986"/>
      <c r="O986"/>
      <c r="P986"/>
      <c r="Q986"/>
      <c r="R986"/>
      <c r="S986"/>
      <c r="T986"/>
      <c r="U986"/>
      <c r="V986"/>
      <c r="W986"/>
      <c r="X986"/>
      <c r="Y986"/>
      <c r="Z986"/>
      <c r="AA986"/>
      <c r="AB986"/>
      <c r="AC986"/>
      <c r="AD986"/>
      <c r="AE986"/>
      <c r="AF986"/>
      <c r="AG986"/>
      <c r="AH986"/>
      <c r="AI986"/>
      <c r="AJ986"/>
      <c r="AK986"/>
      <c r="AL986"/>
      <c r="AM986"/>
      <c r="AN986"/>
      <c r="AO986"/>
      <c r="AP986"/>
      <c r="AQ986"/>
      <c r="AR986"/>
      <c r="AS986"/>
      <c r="AT986"/>
      <c r="AU986"/>
      <c r="AV986"/>
      <c r="AW986"/>
      <c r="AX986"/>
      <c r="AY986"/>
      <c r="AZ986"/>
      <c r="BA986"/>
      <c r="BB986"/>
      <c r="BC986"/>
      <c r="BD986"/>
      <c r="BE986"/>
      <c r="BF986"/>
      <c r="BG986"/>
      <c r="BH986"/>
      <c r="BI986"/>
      <c r="BJ986"/>
      <c r="BK986"/>
      <c r="BL986"/>
      <c r="BM986"/>
      <c r="BN986"/>
      <c r="BO986"/>
      <c r="BP986"/>
      <c r="BQ986"/>
      <c r="BR986"/>
      <c r="BS986"/>
      <c r="BT986"/>
      <c r="BU986"/>
      <c r="BV986"/>
      <c r="BW986"/>
      <c r="BX986"/>
      <c r="BY986"/>
      <c r="BZ986"/>
    </row>
    <row r="987" spans="4:78" x14ac:dyDescent="0.25">
      <c r="D987"/>
      <c r="E987"/>
      <c r="F987"/>
      <c r="G987"/>
      <c r="H987"/>
      <c r="I987"/>
      <c r="J987"/>
      <c r="K987"/>
      <c r="L987"/>
      <c r="M987"/>
      <c r="N987"/>
      <c r="O987"/>
      <c r="P987"/>
      <c r="Q987"/>
      <c r="R987"/>
      <c r="S987"/>
      <c r="T987"/>
      <c r="U987"/>
      <c r="V987"/>
      <c r="W987"/>
      <c r="X987"/>
      <c r="Y987"/>
      <c r="Z987"/>
      <c r="AA987"/>
      <c r="AB987"/>
      <c r="AC987"/>
      <c r="AD987"/>
      <c r="AE987"/>
      <c r="AF987"/>
      <c r="AG987"/>
      <c r="AH987"/>
      <c r="AI987"/>
      <c r="AJ987"/>
      <c r="AK987"/>
      <c r="AL987"/>
      <c r="AM987"/>
      <c r="AN987"/>
      <c r="AO987"/>
      <c r="AP987"/>
      <c r="AQ987"/>
      <c r="AR987"/>
      <c r="AS987"/>
      <c r="AT987"/>
      <c r="AU987"/>
      <c r="AV987"/>
      <c r="AW987"/>
      <c r="AX987"/>
      <c r="AY987"/>
      <c r="AZ987"/>
      <c r="BA987"/>
      <c r="BB987"/>
      <c r="BC987"/>
      <c r="BD987"/>
      <c r="BE987"/>
      <c r="BF987"/>
      <c r="BG987"/>
      <c r="BH987"/>
      <c r="BI987"/>
      <c r="BJ987"/>
      <c r="BK987"/>
      <c r="BL987"/>
      <c r="BM987"/>
      <c r="BN987"/>
      <c r="BO987"/>
      <c r="BP987"/>
      <c r="BQ987"/>
      <c r="BR987"/>
      <c r="BS987"/>
      <c r="BT987"/>
      <c r="BU987"/>
      <c r="BV987"/>
      <c r="BW987"/>
      <c r="BX987"/>
      <c r="BY987"/>
      <c r="BZ987"/>
    </row>
    <row r="988" spans="4:78" x14ac:dyDescent="0.25">
      <c r="D988"/>
      <c r="E988"/>
      <c r="F988"/>
      <c r="G988"/>
      <c r="H988"/>
      <c r="I988"/>
      <c r="J988"/>
      <c r="K988"/>
      <c r="L988"/>
      <c r="M988"/>
      <c r="N988"/>
      <c r="O988"/>
      <c r="P988"/>
      <c r="Q988"/>
      <c r="R988"/>
      <c r="S988"/>
      <c r="T988"/>
      <c r="U988"/>
      <c r="V988"/>
      <c r="W988"/>
      <c r="X988"/>
      <c r="Y988"/>
      <c r="Z988"/>
      <c r="AA988"/>
      <c r="AB988"/>
      <c r="AC988"/>
      <c r="AD988"/>
      <c r="AE988"/>
      <c r="AF988"/>
      <c r="AG988"/>
      <c r="AH988"/>
      <c r="AI988"/>
      <c r="AJ988"/>
      <c r="AK988"/>
      <c r="AL988"/>
      <c r="AM988"/>
      <c r="AN988"/>
      <c r="AO988"/>
      <c r="AP988"/>
      <c r="AQ988"/>
      <c r="AR988"/>
      <c r="AS988"/>
      <c r="AT988"/>
      <c r="AU988"/>
      <c r="AV988"/>
      <c r="AW988"/>
      <c r="AX988"/>
      <c r="AY988"/>
      <c r="AZ988"/>
      <c r="BA988"/>
      <c r="BB988"/>
      <c r="BC988"/>
      <c r="BD988"/>
      <c r="BE988"/>
      <c r="BF988"/>
      <c r="BG988"/>
      <c r="BH988"/>
      <c r="BI988"/>
      <c r="BJ988"/>
      <c r="BK988"/>
      <c r="BL988"/>
      <c r="BM988"/>
      <c r="BN988"/>
      <c r="BO988"/>
      <c r="BP988"/>
      <c r="BQ988"/>
      <c r="BR988"/>
      <c r="BS988"/>
      <c r="BT988"/>
      <c r="BU988"/>
      <c r="BV988"/>
      <c r="BW988"/>
      <c r="BX988"/>
      <c r="BY988"/>
      <c r="BZ988"/>
    </row>
    <row r="989" spans="4:78" x14ac:dyDescent="0.25">
      <c r="D989"/>
      <c r="E989"/>
      <c r="F989"/>
      <c r="G989"/>
      <c r="H989"/>
      <c r="I989"/>
      <c r="J989"/>
      <c r="K989"/>
      <c r="L989"/>
      <c r="M989"/>
      <c r="N989"/>
      <c r="O989"/>
      <c r="P989"/>
      <c r="Q989"/>
      <c r="R989"/>
      <c r="S989"/>
      <c r="T989"/>
      <c r="U989"/>
      <c r="V989"/>
      <c r="W989"/>
      <c r="X989"/>
      <c r="Y989"/>
      <c r="Z989"/>
      <c r="AA989"/>
      <c r="AB989"/>
      <c r="AC989"/>
      <c r="AD989"/>
      <c r="AE989"/>
      <c r="AF989"/>
      <c r="AG989"/>
      <c r="AH989"/>
      <c r="AI989"/>
      <c r="AJ989"/>
      <c r="AK989"/>
      <c r="AL989"/>
      <c r="AM989"/>
      <c r="AN989"/>
      <c r="AO989"/>
      <c r="AP989"/>
      <c r="AQ989"/>
      <c r="AR989"/>
      <c r="AS989"/>
      <c r="AT989"/>
      <c r="AU989"/>
      <c r="AV989"/>
      <c r="AW989"/>
      <c r="AX989"/>
      <c r="AY989"/>
      <c r="AZ989"/>
      <c r="BA989"/>
      <c r="BB989"/>
      <c r="BC989"/>
      <c r="BD989"/>
      <c r="BE989"/>
      <c r="BF989"/>
      <c r="BG989"/>
      <c r="BH989"/>
      <c r="BI989"/>
      <c r="BJ989"/>
      <c r="BK989"/>
      <c r="BL989"/>
      <c r="BM989"/>
      <c r="BN989"/>
      <c r="BO989"/>
      <c r="BP989"/>
      <c r="BQ989"/>
      <c r="BR989"/>
      <c r="BS989"/>
      <c r="BT989"/>
      <c r="BU989"/>
      <c r="BV989"/>
      <c r="BW989"/>
      <c r="BX989"/>
      <c r="BY989"/>
      <c r="BZ989"/>
    </row>
    <row r="990" spans="4:78" x14ac:dyDescent="0.25">
      <c r="D990"/>
      <c r="E990"/>
      <c r="F990"/>
      <c r="G990"/>
      <c r="H990"/>
      <c r="I990"/>
      <c r="J990"/>
      <c r="K990"/>
      <c r="L990"/>
      <c r="M990"/>
      <c r="N990"/>
      <c r="O990"/>
      <c r="P990"/>
      <c r="Q990"/>
      <c r="R990"/>
      <c r="S990"/>
      <c r="T990"/>
      <c r="U990"/>
      <c r="V990"/>
      <c r="W990"/>
      <c r="X990"/>
      <c r="Y990"/>
      <c r="Z990"/>
      <c r="AA990"/>
      <c r="AB990"/>
      <c r="AC990"/>
      <c r="AD990"/>
      <c r="AE990"/>
      <c r="AF990"/>
      <c r="AG990"/>
      <c r="AH990"/>
      <c r="AI990"/>
      <c r="AJ990"/>
      <c r="AK990"/>
      <c r="AL990"/>
      <c r="AM990"/>
      <c r="AN990"/>
      <c r="AO990"/>
      <c r="AP990"/>
      <c r="AQ990"/>
      <c r="AR990"/>
      <c r="AS990"/>
      <c r="AT990"/>
      <c r="AU990"/>
      <c r="AV990"/>
      <c r="AW990"/>
      <c r="AX990"/>
      <c r="AY990"/>
      <c r="AZ990"/>
      <c r="BA990"/>
      <c r="BB990"/>
      <c r="BC990"/>
      <c r="BD990"/>
      <c r="BE990"/>
      <c r="BF990"/>
      <c r="BG990"/>
      <c r="BH990"/>
      <c r="BI990"/>
      <c r="BJ990"/>
      <c r="BK990"/>
      <c r="BL990"/>
      <c r="BM990"/>
      <c r="BN990"/>
      <c r="BO990"/>
      <c r="BP990"/>
      <c r="BQ990"/>
      <c r="BR990"/>
      <c r="BS990"/>
      <c r="BT990"/>
      <c r="BU990"/>
      <c r="BV990"/>
      <c r="BW990"/>
      <c r="BX990"/>
      <c r="BY990"/>
      <c r="BZ990"/>
    </row>
    <row r="991" spans="4:78" x14ac:dyDescent="0.25">
      <c r="D991"/>
      <c r="E991"/>
      <c r="F991"/>
      <c r="G991"/>
      <c r="H991"/>
      <c r="I991"/>
      <c r="J991"/>
      <c r="K991"/>
      <c r="L991"/>
      <c r="M991"/>
      <c r="N991"/>
      <c r="O991"/>
      <c r="P991"/>
      <c r="Q991"/>
      <c r="R991"/>
      <c r="S991"/>
      <c r="T991"/>
      <c r="U991"/>
      <c r="V991"/>
      <c r="W991"/>
      <c r="X991"/>
      <c r="Y991"/>
      <c r="Z991"/>
      <c r="AA991"/>
      <c r="AB991"/>
      <c r="AC991"/>
      <c r="AD991"/>
      <c r="AE991"/>
      <c r="AF991"/>
      <c r="AG991"/>
      <c r="AH991"/>
      <c r="AI991"/>
      <c r="AJ991"/>
      <c r="AK991"/>
      <c r="AL991"/>
      <c r="AM991"/>
      <c r="AN991"/>
      <c r="AO991"/>
      <c r="AP991"/>
      <c r="AQ991"/>
      <c r="AR991"/>
      <c r="AS991"/>
      <c r="AT991"/>
      <c r="AU991"/>
      <c r="AV991"/>
      <c r="AW991"/>
      <c r="AX991"/>
      <c r="AY991"/>
      <c r="AZ991"/>
      <c r="BA991"/>
      <c r="BB991"/>
      <c r="BC991"/>
      <c r="BD991"/>
      <c r="BE991"/>
      <c r="BF991"/>
      <c r="BG991"/>
      <c r="BH991"/>
      <c r="BI991"/>
      <c r="BJ991"/>
      <c r="BK991"/>
      <c r="BL991"/>
      <c r="BM991"/>
      <c r="BN991"/>
      <c r="BO991"/>
      <c r="BP991"/>
      <c r="BQ991"/>
      <c r="BR991"/>
      <c r="BS991"/>
      <c r="BT991"/>
      <c r="BU991"/>
      <c r="BV991"/>
      <c r="BW991"/>
      <c r="BX991"/>
      <c r="BY991"/>
      <c r="BZ991"/>
    </row>
    <row r="992" spans="4:78" x14ac:dyDescent="0.25">
      <c r="D992"/>
      <c r="E992"/>
      <c r="F992"/>
      <c r="G992"/>
      <c r="H992"/>
      <c r="I992"/>
      <c r="J992"/>
      <c r="K992"/>
      <c r="L992"/>
      <c r="M992"/>
      <c r="N992"/>
      <c r="O992"/>
      <c r="P992"/>
      <c r="Q992"/>
      <c r="R992"/>
      <c r="S992"/>
      <c r="T992"/>
      <c r="U992"/>
      <c r="V992"/>
      <c r="W992"/>
      <c r="X992"/>
      <c r="Y992"/>
      <c r="Z992"/>
      <c r="AA992"/>
      <c r="AB992"/>
      <c r="AC992"/>
      <c r="AD992"/>
      <c r="AE992"/>
      <c r="AF992"/>
      <c r="AG992"/>
      <c r="AH992"/>
      <c r="AI992"/>
      <c r="AJ992"/>
      <c r="AK992"/>
      <c r="AL992"/>
      <c r="AM992"/>
      <c r="AN992"/>
      <c r="AO992"/>
      <c r="AP992"/>
      <c r="AQ992"/>
      <c r="AR992"/>
      <c r="AS992"/>
      <c r="AT992"/>
      <c r="AU992"/>
      <c r="AV992"/>
      <c r="AW992"/>
      <c r="AX992"/>
      <c r="AY992"/>
      <c r="AZ992"/>
      <c r="BA992"/>
      <c r="BB992"/>
      <c r="BC992"/>
      <c r="BD992"/>
      <c r="BE992"/>
      <c r="BF992"/>
      <c r="BG992"/>
      <c r="BH992"/>
      <c r="BI992"/>
      <c r="BJ992"/>
      <c r="BK992"/>
      <c r="BL992"/>
      <c r="BM992"/>
      <c r="BN992"/>
      <c r="BO992"/>
      <c r="BP992"/>
      <c r="BQ992"/>
      <c r="BR992"/>
      <c r="BS992"/>
      <c r="BT992"/>
      <c r="BU992"/>
      <c r="BV992"/>
      <c r="BW992"/>
      <c r="BX992"/>
      <c r="BY992"/>
      <c r="BZ992"/>
    </row>
    <row r="993" spans="4:78" x14ac:dyDescent="0.25">
      <c r="D993"/>
      <c r="E993"/>
      <c r="F993"/>
      <c r="G993"/>
      <c r="H993"/>
      <c r="I993"/>
      <c r="J993"/>
      <c r="K993"/>
      <c r="L993"/>
      <c r="M993"/>
      <c r="N993"/>
      <c r="O993"/>
      <c r="P993"/>
      <c r="Q993"/>
      <c r="R993"/>
      <c r="S993"/>
      <c r="T993"/>
      <c r="U993"/>
      <c r="V993"/>
      <c r="W993"/>
      <c r="X993"/>
      <c r="Y993"/>
      <c r="Z993"/>
      <c r="AA993"/>
      <c r="AB993"/>
      <c r="AC993"/>
      <c r="AD993"/>
      <c r="AE993"/>
      <c r="AF993"/>
      <c r="AG993"/>
      <c r="AH993"/>
      <c r="AI993"/>
      <c r="AJ993"/>
      <c r="AK993"/>
      <c r="AL993"/>
      <c r="AM993"/>
      <c r="AN993"/>
      <c r="AO993"/>
      <c r="AP993"/>
      <c r="AQ993"/>
      <c r="AR993"/>
      <c r="AS993"/>
      <c r="AT993"/>
      <c r="AU993"/>
      <c r="AV993"/>
      <c r="AW993"/>
      <c r="AX993"/>
      <c r="AY993"/>
      <c r="AZ993"/>
      <c r="BA993"/>
      <c r="BB993"/>
      <c r="BC993"/>
      <c r="BD993"/>
      <c r="BE993"/>
      <c r="BF993"/>
      <c r="BG993"/>
      <c r="BH993"/>
      <c r="BI993"/>
      <c r="BJ993"/>
      <c r="BK993"/>
      <c r="BL993"/>
      <c r="BM993"/>
      <c r="BN993"/>
      <c r="BO993"/>
      <c r="BP993"/>
      <c r="BQ993"/>
      <c r="BR993"/>
      <c r="BS993"/>
      <c r="BT993"/>
      <c r="BU993"/>
      <c r="BV993"/>
      <c r="BW993"/>
      <c r="BX993"/>
      <c r="BY993"/>
      <c r="BZ993"/>
    </row>
    <row r="994" spans="4:78" x14ac:dyDescent="0.25">
      <c r="D994"/>
      <c r="E994"/>
      <c r="F994"/>
      <c r="G994"/>
      <c r="H994"/>
      <c r="I994"/>
      <c r="J994"/>
      <c r="K994"/>
      <c r="L994"/>
      <c r="M994"/>
      <c r="N994"/>
      <c r="O994"/>
      <c r="P994"/>
      <c r="Q994"/>
      <c r="R994"/>
      <c r="S994"/>
      <c r="T994"/>
      <c r="U994"/>
      <c r="V994"/>
      <c r="W994"/>
      <c r="X994"/>
      <c r="Y994"/>
      <c r="Z994"/>
      <c r="AA994"/>
      <c r="AB994"/>
      <c r="AC994"/>
      <c r="AD994"/>
      <c r="AE994"/>
      <c r="AF994"/>
      <c r="AG994"/>
      <c r="AH994"/>
      <c r="AI994"/>
      <c r="AJ994"/>
      <c r="AK994"/>
      <c r="AL994"/>
      <c r="AM994"/>
      <c r="AN994"/>
      <c r="AO994"/>
      <c r="AP994"/>
      <c r="AQ994"/>
      <c r="AR994"/>
      <c r="AS994"/>
      <c r="AT994"/>
      <c r="AU994"/>
      <c r="AV994"/>
      <c r="AW994"/>
      <c r="AX994"/>
      <c r="AY994"/>
      <c r="AZ994"/>
      <c r="BA994"/>
      <c r="BB994"/>
      <c r="BC994"/>
      <c r="BD994"/>
      <c r="BE994"/>
      <c r="BF994"/>
      <c r="BG994"/>
      <c r="BH994"/>
      <c r="BI994"/>
      <c r="BJ994"/>
      <c r="BK994"/>
      <c r="BL994"/>
      <c r="BM994"/>
      <c r="BN994"/>
      <c r="BO994"/>
      <c r="BP994"/>
      <c r="BQ994"/>
      <c r="BR994"/>
      <c r="BS994"/>
      <c r="BT994"/>
      <c r="BU994"/>
      <c r="BV994"/>
      <c r="BW994"/>
      <c r="BX994"/>
      <c r="BY994"/>
      <c r="BZ994"/>
    </row>
    <row r="995" spans="4:78" x14ac:dyDescent="0.25">
      <c r="D995"/>
      <c r="E995"/>
      <c r="F995"/>
      <c r="G995"/>
      <c r="H995"/>
      <c r="I995"/>
      <c r="J995"/>
      <c r="K995"/>
      <c r="L995"/>
      <c r="M995"/>
      <c r="N995"/>
      <c r="O995"/>
      <c r="P995"/>
      <c r="Q995"/>
      <c r="R995"/>
      <c r="S995"/>
      <c r="T995"/>
      <c r="U995"/>
      <c r="V995"/>
      <c r="W995"/>
      <c r="X995"/>
      <c r="Y995"/>
      <c r="Z995"/>
      <c r="AA995"/>
      <c r="AB995"/>
      <c r="AC995"/>
      <c r="AD995"/>
      <c r="AE995"/>
      <c r="AF995"/>
      <c r="AG995"/>
      <c r="AH995"/>
      <c r="AI995"/>
      <c r="AJ995"/>
      <c r="AK995"/>
      <c r="AL995"/>
      <c r="AM995"/>
      <c r="AN995"/>
      <c r="AO995"/>
      <c r="AP995"/>
      <c r="AQ995"/>
      <c r="AR995"/>
      <c r="AS995"/>
      <c r="AT995"/>
      <c r="AU995"/>
      <c r="AV995"/>
      <c r="AW995"/>
      <c r="AX995"/>
      <c r="AY995"/>
      <c r="AZ995"/>
      <c r="BA995"/>
      <c r="BB995"/>
      <c r="BC995"/>
      <c r="BD995"/>
      <c r="BE995"/>
      <c r="BF995"/>
      <c r="BG995"/>
      <c r="BH995"/>
      <c r="BI995"/>
      <c r="BJ995"/>
      <c r="BK995"/>
      <c r="BL995"/>
      <c r="BM995"/>
      <c r="BN995"/>
      <c r="BO995"/>
      <c r="BP995"/>
      <c r="BQ995"/>
      <c r="BR995"/>
      <c r="BS995"/>
      <c r="BT995"/>
      <c r="BU995"/>
      <c r="BV995"/>
      <c r="BW995"/>
      <c r="BX995"/>
      <c r="BY995"/>
      <c r="BZ995"/>
    </row>
    <row r="996" spans="4:78" x14ac:dyDescent="0.25">
      <c r="D996"/>
      <c r="E996"/>
      <c r="F996"/>
      <c r="G996"/>
      <c r="H996"/>
      <c r="I996"/>
      <c r="J996"/>
      <c r="K996"/>
      <c r="L996"/>
      <c r="M996"/>
      <c r="N996"/>
      <c r="O996"/>
      <c r="P996"/>
      <c r="Q996"/>
      <c r="R996"/>
      <c r="S996"/>
      <c r="T996"/>
      <c r="U996"/>
      <c r="V996"/>
      <c r="W996"/>
      <c r="X996"/>
      <c r="Y996"/>
      <c r="Z996"/>
      <c r="AA996"/>
      <c r="AB996"/>
      <c r="AC996"/>
      <c r="AD996"/>
      <c r="AE996"/>
      <c r="AF996"/>
      <c r="AG996"/>
      <c r="AH996"/>
      <c r="AI996"/>
      <c r="AJ996"/>
      <c r="AK996"/>
      <c r="AL996"/>
      <c r="AM996"/>
      <c r="AN996"/>
      <c r="AO996"/>
      <c r="AP996"/>
      <c r="AQ996"/>
      <c r="AR996"/>
      <c r="AS996"/>
      <c r="AT996"/>
      <c r="AU996"/>
      <c r="AV996"/>
      <c r="AW996"/>
      <c r="AX996"/>
      <c r="AY996"/>
      <c r="AZ996"/>
      <c r="BA996"/>
      <c r="BB996"/>
      <c r="BC996"/>
      <c r="BD996"/>
      <c r="BE996"/>
      <c r="BF996"/>
      <c r="BG996"/>
      <c r="BH996"/>
      <c r="BI996"/>
      <c r="BJ996"/>
      <c r="BK996"/>
      <c r="BL996"/>
      <c r="BM996"/>
      <c r="BN996"/>
      <c r="BO996"/>
      <c r="BP996"/>
      <c r="BQ996"/>
      <c r="BR996"/>
      <c r="BS996"/>
      <c r="BT996"/>
      <c r="BU996"/>
      <c r="BV996"/>
      <c r="BW996"/>
      <c r="BX996"/>
      <c r="BY996"/>
      <c r="BZ996"/>
    </row>
    <row r="997" spans="4:78" x14ac:dyDescent="0.25">
      <c r="D997"/>
      <c r="E997"/>
      <c r="F997"/>
      <c r="G997"/>
      <c r="H997"/>
      <c r="I997"/>
      <c r="J997"/>
      <c r="K997"/>
      <c r="L997"/>
      <c r="M997"/>
      <c r="N997"/>
      <c r="O997"/>
      <c r="P997"/>
      <c r="Q997"/>
      <c r="R997"/>
      <c r="S997"/>
      <c r="T997"/>
      <c r="U997"/>
      <c r="V997"/>
      <c r="W997"/>
      <c r="X997"/>
      <c r="Y997"/>
      <c r="Z997"/>
      <c r="AA997"/>
      <c r="AB997"/>
      <c r="AC997"/>
      <c r="AD997"/>
      <c r="AE997"/>
      <c r="AF997"/>
      <c r="AG997"/>
      <c r="AH997"/>
      <c r="AI997"/>
      <c r="AJ997"/>
      <c r="AK997"/>
      <c r="AL997"/>
      <c r="AM997"/>
      <c r="AN997"/>
      <c r="AO997"/>
      <c r="AP997"/>
      <c r="AQ997"/>
      <c r="AR997"/>
      <c r="AS997"/>
      <c r="AT997"/>
      <c r="AU997"/>
      <c r="AV997"/>
      <c r="AW997"/>
      <c r="AX997"/>
      <c r="AY997"/>
      <c r="AZ997"/>
      <c r="BA997"/>
      <c r="BB997"/>
      <c r="BC997"/>
      <c r="BD997"/>
      <c r="BE997"/>
      <c r="BF997"/>
      <c r="BG997"/>
      <c r="BH997"/>
      <c r="BI997"/>
      <c r="BJ997"/>
      <c r="BK997"/>
      <c r="BL997"/>
      <c r="BM997"/>
      <c r="BN997"/>
      <c r="BO997"/>
      <c r="BP997"/>
      <c r="BQ997"/>
      <c r="BR997"/>
      <c r="BS997"/>
      <c r="BT997"/>
      <c r="BU997"/>
      <c r="BV997"/>
      <c r="BW997"/>
      <c r="BX997"/>
      <c r="BY997"/>
      <c r="BZ997"/>
    </row>
    <row r="998" spans="4:78" x14ac:dyDescent="0.25">
      <c r="D998"/>
      <c r="E998"/>
      <c r="F998"/>
      <c r="G998"/>
      <c r="H998"/>
      <c r="I998"/>
      <c r="J998"/>
      <c r="K998"/>
      <c r="L998"/>
      <c r="M998"/>
      <c r="N998"/>
      <c r="O998"/>
      <c r="P998"/>
      <c r="Q998"/>
      <c r="R998"/>
      <c r="S998"/>
      <c r="T998"/>
      <c r="U998"/>
      <c r="V998"/>
      <c r="W998"/>
      <c r="X998"/>
      <c r="Y998"/>
      <c r="Z998"/>
      <c r="AA998"/>
      <c r="AB998"/>
      <c r="AC998"/>
      <c r="AD998"/>
      <c r="AE998"/>
      <c r="AF998"/>
      <c r="AG998"/>
      <c r="AH998"/>
      <c r="AI998"/>
      <c r="AJ998"/>
      <c r="AK998"/>
      <c r="AL998"/>
      <c r="AM998"/>
      <c r="AN998"/>
      <c r="AO998"/>
      <c r="AP998"/>
      <c r="AQ998"/>
      <c r="AR998"/>
      <c r="AS998"/>
      <c r="AT998"/>
      <c r="AU998"/>
      <c r="AV998"/>
      <c r="AW998"/>
      <c r="AX998"/>
      <c r="AY998"/>
      <c r="AZ998"/>
      <c r="BA998"/>
      <c r="BB998"/>
      <c r="BC998"/>
      <c r="BD998"/>
      <c r="BE998"/>
      <c r="BF998"/>
      <c r="BG998"/>
      <c r="BH998"/>
      <c r="BI998"/>
      <c r="BJ998"/>
      <c r="BK998"/>
      <c r="BL998"/>
      <c r="BM998"/>
      <c r="BN998"/>
      <c r="BO998"/>
      <c r="BP998"/>
      <c r="BQ998"/>
      <c r="BR998"/>
      <c r="BS998"/>
      <c r="BT998"/>
      <c r="BU998"/>
      <c r="BV998"/>
      <c r="BW998"/>
      <c r="BX998"/>
      <c r="BY998"/>
      <c r="BZ998"/>
    </row>
    <row r="999" spans="4:78" x14ac:dyDescent="0.25">
      <c r="D999"/>
      <c r="E999"/>
      <c r="F999"/>
      <c r="G999"/>
      <c r="H999"/>
      <c r="I999"/>
      <c r="J999"/>
      <c r="K999"/>
      <c r="L999"/>
      <c r="M999"/>
      <c r="N999"/>
      <c r="O999"/>
      <c r="P999"/>
      <c r="Q999"/>
      <c r="R999"/>
      <c r="S999"/>
      <c r="T999"/>
      <c r="U999"/>
      <c r="V999"/>
      <c r="W999"/>
      <c r="X999"/>
      <c r="Y999"/>
      <c r="Z999"/>
      <c r="AA999"/>
      <c r="AB999"/>
      <c r="AC999"/>
      <c r="AD999"/>
      <c r="AE999"/>
      <c r="AF999"/>
      <c r="AG999"/>
      <c r="AH999"/>
      <c r="AI999"/>
      <c r="AJ999"/>
      <c r="AK999"/>
      <c r="AL999"/>
      <c r="AM999"/>
      <c r="AN999"/>
      <c r="AO999"/>
      <c r="AP999"/>
      <c r="AQ999"/>
      <c r="AR999"/>
      <c r="AS999"/>
      <c r="AT999"/>
      <c r="AU999"/>
      <c r="AV999"/>
      <c r="AW999"/>
      <c r="AX999"/>
      <c r="AY999"/>
      <c r="AZ999"/>
      <c r="BA999"/>
      <c r="BB999"/>
      <c r="BC999"/>
      <c r="BD999"/>
      <c r="BE999"/>
      <c r="BF999"/>
      <c r="BG999"/>
      <c r="BH999"/>
      <c r="BI999"/>
      <c r="BJ999"/>
      <c r="BK999"/>
      <c r="BL999"/>
      <c r="BM999"/>
      <c r="BN999"/>
      <c r="BO999"/>
      <c r="BP999"/>
      <c r="BQ999"/>
      <c r="BR999"/>
      <c r="BS999"/>
      <c r="BT999"/>
      <c r="BU999"/>
      <c r="BV999"/>
      <c r="BW999"/>
      <c r="BX999"/>
      <c r="BY999"/>
      <c r="BZ999"/>
    </row>
    <row r="1000" spans="4:78" x14ac:dyDescent="0.25">
      <c r="D1000"/>
      <c r="E1000"/>
      <c r="F1000"/>
      <c r="G1000"/>
      <c r="H1000"/>
      <c r="I1000"/>
      <c r="J1000"/>
      <c r="K1000"/>
      <c r="L1000"/>
      <c r="M1000"/>
      <c r="N1000"/>
      <c r="O1000"/>
      <c r="P1000"/>
      <c r="Q1000"/>
      <c r="R1000"/>
      <c r="S1000"/>
      <c r="T1000"/>
      <c r="U1000"/>
      <c r="V1000"/>
      <c r="W1000"/>
      <c r="X1000"/>
      <c r="Y1000"/>
      <c r="Z1000"/>
      <c r="AA1000"/>
      <c r="AB1000"/>
      <c r="AC1000"/>
      <c r="AD1000"/>
      <c r="AE1000"/>
      <c r="AF1000"/>
      <c r="AG1000"/>
      <c r="AH1000"/>
      <c r="AI1000"/>
      <c r="AJ1000"/>
      <c r="AK1000"/>
      <c r="AL1000"/>
      <c r="AM1000"/>
      <c r="AN1000"/>
      <c r="AO1000"/>
      <c r="AP1000"/>
      <c r="AQ1000"/>
      <c r="AR1000"/>
      <c r="AS1000"/>
      <c r="AT1000"/>
      <c r="AU1000"/>
      <c r="AV1000"/>
      <c r="AW1000"/>
      <c r="AX1000"/>
      <c r="AY1000"/>
      <c r="AZ1000"/>
      <c r="BA1000"/>
      <c r="BB1000"/>
      <c r="BC1000"/>
      <c r="BD1000"/>
      <c r="BE1000"/>
      <c r="BF1000"/>
      <c r="BG1000"/>
      <c r="BH1000"/>
      <c r="BI1000"/>
      <c r="BJ1000"/>
      <c r="BK1000"/>
      <c r="BL1000"/>
      <c r="BM1000"/>
      <c r="BN1000"/>
      <c r="BO1000"/>
      <c r="BP1000"/>
      <c r="BQ1000"/>
      <c r="BR1000"/>
      <c r="BS1000"/>
      <c r="BT1000"/>
      <c r="BU1000"/>
      <c r="BV1000"/>
      <c r="BW1000"/>
      <c r="BX1000"/>
      <c r="BY1000"/>
      <c r="BZ1000"/>
    </row>
  </sheetData>
  <mergeCells count="2">
    <mergeCell ref="E3:I3"/>
    <mergeCell ref="N3:Q3"/>
  </mergeCells>
  <conditionalFormatting sqref="H1001:I1048576">
    <cfRule type="colorScale" priority="2">
      <colorScale>
        <cfvo type="num" val="-2"/>
        <cfvo type="num" val="0"/>
        <cfvo type="num" val="2"/>
        <color rgb="FFF8696B"/>
        <color rgb="FFFCFCFF"/>
        <color rgb="FF63BE7B"/>
      </colorScale>
    </cfRule>
  </conditionalFormatting>
  <dataValidations count="3">
    <dataValidation type="list" allowBlank="1" showInputMessage="1" showErrorMessage="1" sqref="E3:I4" xr:uid="{00000000-0002-0000-0200-000000000000}">
      <formula1>Stakeholders</formula1>
    </dataValidation>
    <dataValidation type="list" allowBlank="1" showInputMessage="1" showErrorMessage="1" sqref="N3:Q4" xr:uid="{00000000-0002-0000-0200-000001000000}">
      <formula1>Dimensions</formula1>
    </dataValidation>
    <dataValidation type="list" allowBlank="1" showInputMessage="1" showErrorMessage="1" sqref="C7:C291" xr:uid="{00000000-0002-0000-0200-000002000000}">
      <formula1>Scenarios</formula1>
    </dataValidation>
  </dataValidations>
  <pageMargins left="0.7" right="0.7" top="0.78740157499999996" bottom="0.78740157499999996"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0391" r:id="rId4" name="Button 151">
              <controlPr defaultSize="0" print="0" autoFill="0" autoPict="0" macro="[0]!New_Requirement_Click">
                <anchor moveWithCells="1" sizeWithCells="1">
                  <from>
                    <xdr:col>1</xdr:col>
                    <xdr:colOff>114300</xdr:colOff>
                    <xdr:row>1</xdr:row>
                    <xdr:rowOff>104775</xdr:rowOff>
                  </from>
                  <to>
                    <xdr:col>1</xdr:col>
                    <xdr:colOff>1352550</xdr:colOff>
                    <xdr:row>3</xdr:row>
                    <xdr:rowOff>47625</xdr:rowOff>
                  </to>
                </anchor>
              </controlPr>
            </control>
          </mc:Choice>
        </mc:AlternateContent>
        <mc:AlternateContent xmlns:mc="http://schemas.openxmlformats.org/markup-compatibility/2006">
          <mc:Choice Requires="x14">
            <control shapeId="10437" r:id="rId5" name="Button 197">
              <controlPr defaultSize="0" print="0" autoFill="0" autoPict="0" macro="[0]!Delete_Last_Requirement_Click">
                <anchor moveWithCells="1" sizeWithCells="1">
                  <from>
                    <xdr:col>1</xdr:col>
                    <xdr:colOff>1533525</xdr:colOff>
                    <xdr:row>1</xdr:row>
                    <xdr:rowOff>114300</xdr:rowOff>
                  </from>
                  <to>
                    <xdr:col>1</xdr:col>
                    <xdr:colOff>3295650</xdr:colOff>
                    <xdr:row>3</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7"/>
  <dimension ref="A1:H338"/>
  <sheetViews>
    <sheetView tabSelected="1" zoomScale="130" zoomScaleNormal="130" workbookViewId="0">
      <pane ySplit="1" topLeftCell="A9" activePane="bottomLeft" state="frozen"/>
      <selection pane="bottomLeft" activeCell="G17" sqref="G17"/>
    </sheetView>
  </sheetViews>
  <sheetFormatPr baseColWidth="10" defaultColWidth="11.5703125" defaultRowHeight="15" x14ac:dyDescent="0.25"/>
  <cols>
    <col min="1" max="1" width="8.42578125" style="1" customWidth="1"/>
    <col min="2" max="2" width="12.42578125" style="1" customWidth="1"/>
    <col min="3" max="3" width="9.140625" style="1" customWidth="1"/>
    <col min="4" max="4" width="18.7109375" style="1" customWidth="1"/>
    <col min="5" max="5" width="20.7109375" style="1" customWidth="1"/>
    <col min="6" max="6" width="14.42578125" style="1" customWidth="1"/>
    <col min="7" max="7" width="20.140625" style="1" customWidth="1"/>
    <col min="8" max="8" width="75.140625" style="1" customWidth="1"/>
    <col min="9" max="16384" width="11.5703125" style="1"/>
  </cols>
  <sheetData>
    <row r="1" spans="1:8" ht="30" x14ac:dyDescent="0.25">
      <c r="A1" s="57" t="s">
        <v>30</v>
      </c>
      <c r="B1" s="57" t="s">
        <v>116</v>
      </c>
      <c r="C1" s="57" t="s">
        <v>15</v>
      </c>
      <c r="D1" s="57" t="s">
        <v>208</v>
      </c>
      <c r="E1" s="57" t="s">
        <v>222</v>
      </c>
      <c r="F1" s="57" t="s">
        <v>235</v>
      </c>
      <c r="G1" s="57" t="s">
        <v>239</v>
      </c>
      <c r="H1" s="57" t="s">
        <v>238</v>
      </c>
    </row>
    <row r="2" spans="1:8" ht="45" x14ac:dyDescent="0.25">
      <c r="A2" s="1" t="str">
        <f>IF(ISBLANK(B2),"","E"&amp;TEXT(ROW()-1,"000"))</f>
        <v>E001</v>
      </c>
      <c r="B2" s="1" t="s">
        <v>224</v>
      </c>
      <c r="C2" s="1" t="str">
        <f t="shared" ref="C2:C65" si="0">IF(LEN(IFERROR(VLOOKUP(B2,Reqs_and_Explanation,3,FALSE),""))&lt;3,"",IFERROR(VLOOKUP(B2,Reqs_and_Explanation,3,FALSE),""))</f>
        <v/>
      </c>
      <c r="D2" s="1" t="s">
        <v>205</v>
      </c>
      <c r="E2" s="1" t="s">
        <v>214</v>
      </c>
      <c r="F2" s="1" t="s">
        <v>2</v>
      </c>
      <c r="G2" s="1" t="s">
        <v>242</v>
      </c>
      <c r="H2" s="1" t="s">
        <v>228</v>
      </c>
    </row>
    <row r="3" spans="1:8" ht="45" x14ac:dyDescent="0.25">
      <c r="A3" s="1" t="str">
        <f t="shared" ref="A3:A66" si="1">IF(ISBLANK(B3),"","E"&amp;TEXT(ROW()-1,"000"))</f>
        <v>E002</v>
      </c>
      <c r="B3" s="1" t="s">
        <v>225</v>
      </c>
      <c r="C3" s="1" t="str">
        <f t="shared" si="0"/>
        <v>S-2.2</v>
      </c>
      <c r="D3" s="1" t="s">
        <v>203</v>
      </c>
      <c r="E3" s="1" t="s">
        <v>211</v>
      </c>
      <c r="F3" s="1" t="s">
        <v>2</v>
      </c>
      <c r="G3" s="1" t="s">
        <v>243</v>
      </c>
      <c r="H3" s="1" t="s">
        <v>241</v>
      </c>
    </row>
    <row r="4" spans="1:8" ht="45" x14ac:dyDescent="0.25">
      <c r="A4" s="1" t="str">
        <f t="shared" si="1"/>
        <v>E003</v>
      </c>
      <c r="B4" s="1" t="s">
        <v>225</v>
      </c>
      <c r="C4" s="1" t="str">
        <f t="shared" si="0"/>
        <v>S-2.2</v>
      </c>
      <c r="D4" s="1" t="s">
        <v>203</v>
      </c>
      <c r="E4" s="1" t="s">
        <v>214</v>
      </c>
      <c r="F4" s="1" t="s">
        <v>2</v>
      </c>
      <c r="G4" s="1" t="s">
        <v>244</v>
      </c>
      <c r="H4" s="1" t="s">
        <v>229</v>
      </c>
    </row>
    <row r="5" spans="1:8" ht="45" x14ac:dyDescent="0.25">
      <c r="A5" s="1" t="str">
        <f t="shared" si="1"/>
        <v>E004</v>
      </c>
      <c r="B5" s="1" t="s">
        <v>226</v>
      </c>
      <c r="C5" s="1" t="str">
        <f t="shared" si="0"/>
        <v>S-4.3</v>
      </c>
      <c r="D5" s="1" t="s">
        <v>205</v>
      </c>
      <c r="E5" s="1" t="s">
        <v>231</v>
      </c>
      <c r="F5" s="1" t="s">
        <v>2</v>
      </c>
      <c r="G5" s="1" t="s">
        <v>245</v>
      </c>
      <c r="H5" s="1" t="s">
        <v>233</v>
      </c>
    </row>
    <row r="6" spans="1:8" ht="60" x14ac:dyDescent="0.25">
      <c r="A6" s="1" t="str">
        <f t="shared" si="1"/>
        <v>E005</v>
      </c>
      <c r="B6" s="1" t="s">
        <v>226</v>
      </c>
      <c r="C6" s="1" t="str">
        <f t="shared" si="0"/>
        <v>S-4.3</v>
      </c>
      <c r="D6" s="1" t="s">
        <v>205</v>
      </c>
      <c r="E6" s="1" t="s">
        <v>212</v>
      </c>
      <c r="F6" s="1" t="s">
        <v>2</v>
      </c>
      <c r="G6" s="1" t="s">
        <v>246</v>
      </c>
      <c r="H6" s="1" t="s">
        <v>234</v>
      </c>
    </row>
    <row r="7" spans="1:8" ht="45" x14ac:dyDescent="0.25">
      <c r="A7" s="1" t="str">
        <f t="shared" si="1"/>
        <v>E006</v>
      </c>
      <c r="B7" s="1" t="s">
        <v>141</v>
      </c>
      <c r="C7" s="1" t="str">
        <f t="shared" si="0"/>
        <v>S-1.2</v>
      </c>
      <c r="D7" s="1" t="s">
        <v>203</v>
      </c>
      <c r="E7" s="1" t="s">
        <v>214</v>
      </c>
      <c r="F7" s="1" t="s">
        <v>0</v>
      </c>
      <c r="G7" s="1" t="s">
        <v>247</v>
      </c>
      <c r="H7" s="1" t="s">
        <v>237</v>
      </c>
    </row>
    <row r="8" spans="1:8" ht="45" x14ac:dyDescent="0.25">
      <c r="A8" s="1" t="str">
        <f t="shared" si="1"/>
        <v>E007</v>
      </c>
      <c r="B8" s="1" t="s">
        <v>141</v>
      </c>
      <c r="C8" s="1" t="str">
        <f t="shared" si="0"/>
        <v>S-1.2</v>
      </c>
      <c r="D8" s="1" t="s">
        <v>203</v>
      </c>
      <c r="E8" s="1" t="s">
        <v>214</v>
      </c>
      <c r="F8" s="1" t="s">
        <v>0</v>
      </c>
      <c r="G8" s="1" t="s">
        <v>248</v>
      </c>
      <c r="H8" s="1" t="s">
        <v>240</v>
      </c>
    </row>
    <row r="9" spans="1:8" ht="30" x14ac:dyDescent="0.25">
      <c r="A9" s="1" t="str">
        <f t="shared" si="1"/>
        <v>E008</v>
      </c>
      <c r="B9" s="1" t="s">
        <v>141</v>
      </c>
      <c r="C9" s="1" t="str">
        <f t="shared" si="0"/>
        <v>S-1.2</v>
      </c>
      <c r="D9" s="1" t="s">
        <v>227</v>
      </c>
      <c r="E9" s="1" t="s">
        <v>214</v>
      </c>
      <c r="F9" s="1" t="s">
        <v>1</v>
      </c>
      <c r="G9" s="1" t="s">
        <v>249</v>
      </c>
      <c r="H9" s="1" t="s">
        <v>250</v>
      </c>
    </row>
    <row r="10" spans="1:8" ht="30" x14ac:dyDescent="0.25">
      <c r="A10" s="1" t="s">
        <v>263</v>
      </c>
      <c r="B10" s="1" t="s">
        <v>253</v>
      </c>
      <c r="C10" s="1" t="str">
        <f t="shared" si="0"/>
        <v>S-4.3</v>
      </c>
      <c r="D10" s="1" t="s">
        <v>203</v>
      </c>
      <c r="E10" s="1" t="s">
        <v>209</v>
      </c>
      <c r="F10" s="1" t="s">
        <v>4</v>
      </c>
      <c r="G10" s="1" t="s">
        <v>264</v>
      </c>
      <c r="H10" s="1" t="s">
        <v>265</v>
      </c>
    </row>
    <row r="11" spans="1:8" ht="30" x14ac:dyDescent="0.25">
      <c r="A11" s="1" t="s">
        <v>266</v>
      </c>
      <c r="B11" s="1" t="s">
        <v>253</v>
      </c>
      <c r="C11" s="1" t="str">
        <f t="shared" si="0"/>
        <v>S-4.3</v>
      </c>
      <c r="D11" s="1" t="s">
        <v>227</v>
      </c>
      <c r="E11" s="1" t="s">
        <v>210</v>
      </c>
      <c r="F11" s="1" t="s">
        <v>8</v>
      </c>
      <c r="G11" s="1" t="s">
        <v>267</v>
      </c>
      <c r="H11" s="1" t="s">
        <v>268</v>
      </c>
    </row>
    <row r="12" spans="1:8" ht="30" x14ac:dyDescent="0.25">
      <c r="A12" s="1" t="s">
        <v>269</v>
      </c>
      <c r="B12" s="1" t="s">
        <v>253</v>
      </c>
      <c r="C12" s="1" t="str">
        <f t="shared" si="0"/>
        <v>S-4.3</v>
      </c>
      <c r="D12" s="1" t="s">
        <v>203</v>
      </c>
      <c r="E12" s="1" t="s">
        <v>270</v>
      </c>
      <c r="F12" s="1" t="s">
        <v>4</v>
      </c>
      <c r="G12" s="1" t="s">
        <v>272</v>
      </c>
      <c r="H12" s="1" t="s">
        <v>273</v>
      </c>
    </row>
    <row r="13" spans="1:8" ht="45" x14ac:dyDescent="0.25">
      <c r="A13" s="1" t="str">
        <f t="shared" si="1"/>
        <v>E012</v>
      </c>
      <c r="B13" s="1" t="s">
        <v>256</v>
      </c>
      <c r="C13" s="1" t="str">
        <f t="shared" si="0"/>
        <v>S-1.1</v>
      </c>
      <c r="D13" s="1" t="s">
        <v>203</v>
      </c>
      <c r="E13" s="1" t="s">
        <v>214</v>
      </c>
      <c r="F13" s="1" t="s">
        <v>0</v>
      </c>
      <c r="G13" s="1" t="s">
        <v>276</v>
      </c>
      <c r="H13" s="1" t="s">
        <v>277</v>
      </c>
    </row>
    <row r="14" spans="1:8" ht="45" x14ac:dyDescent="0.25">
      <c r="A14" s="1" t="s">
        <v>274</v>
      </c>
      <c r="B14" s="1" t="s">
        <v>256</v>
      </c>
      <c r="C14" s="1" t="str">
        <f t="shared" si="0"/>
        <v>S-1.1</v>
      </c>
      <c r="D14" s="1" t="s">
        <v>203</v>
      </c>
      <c r="E14" s="1" t="s">
        <v>214</v>
      </c>
      <c r="F14" s="1" t="s">
        <v>0</v>
      </c>
      <c r="G14" s="1" t="s">
        <v>278</v>
      </c>
      <c r="H14" s="1" t="s">
        <v>279</v>
      </c>
    </row>
    <row r="15" spans="1:8" ht="30" x14ac:dyDescent="0.25">
      <c r="A15" s="1" t="s">
        <v>275</v>
      </c>
      <c r="B15" s="1" t="s">
        <v>256</v>
      </c>
      <c r="C15" s="1" t="str">
        <f t="shared" si="0"/>
        <v>S-1.1</v>
      </c>
      <c r="D15" s="1" t="s">
        <v>227</v>
      </c>
      <c r="E15" s="1" t="s">
        <v>214</v>
      </c>
      <c r="F15" s="1" t="s">
        <v>1</v>
      </c>
      <c r="G15" s="1" t="s">
        <v>249</v>
      </c>
      <c r="H15" s="1" t="s">
        <v>250</v>
      </c>
    </row>
    <row r="16" spans="1:8" x14ac:dyDescent="0.25">
      <c r="A16" s="1" t="str">
        <f t="shared" si="1"/>
        <v/>
      </c>
      <c r="C16" s="1" t="str">
        <f t="shared" si="0"/>
        <v/>
      </c>
    </row>
    <row r="17" spans="1:3" x14ac:dyDescent="0.25">
      <c r="A17" s="1" t="str">
        <f t="shared" si="1"/>
        <v/>
      </c>
      <c r="C17" s="1" t="str">
        <f t="shared" si="0"/>
        <v/>
      </c>
    </row>
    <row r="18" spans="1:3" x14ac:dyDescent="0.25">
      <c r="A18" s="1" t="str">
        <f t="shared" si="1"/>
        <v/>
      </c>
      <c r="C18" s="1" t="str">
        <f t="shared" si="0"/>
        <v/>
      </c>
    </row>
    <row r="19" spans="1:3" x14ac:dyDescent="0.25">
      <c r="A19" s="1" t="str">
        <f t="shared" si="1"/>
        <v/>
      </c>
      <c r="C19" s="1" t="str">
        <f t="shared" si="0"/>
        <v/>
      </c>
    </row>
    <row r="20" spans="1:3" x14ac:dyDescent="0.25">
      <c r="A20" s="1" t="str">
        <f t="shared" si="1"/>
        <v/>
      </c>
      <c r="C20" s="1" t="str">
        <f t="shared" si="0"/>
        <v/>
      </c>
    </row>
    <row r="21" spans="1:3" x14ac:dyDescent="0.25">
      <c r="A21" s="1" t="str">
        <f t="shared" si="1"/>
        <v/>
      </c>
      <c r="C21" s="1" t="str">
        <f t="shared" si="0"/>
        <v/>
      </c>
    </row>
    <row r="22" spans="1:3" x14ac:dyDescent="0.25">
      <c r="A22" s="1" t="str">
        <f t="shared" si="1"/>
        <v/>
      </c>
      <c r="C22" s="1" t="str">
        <f t="shared" si="0"/>
        <v/>
      </c>
    </row>
    <row r="23" spans="1:3" x14ac:dyDescent="0.25">
      <c r="A23" s="1" t="str">
        <f t="shared" si="1"/>
        <v/>
      </c>
      <c r="C23" s="1" t="str">
        <f t="shared" si="0"/>
        <v/>
      </c>
    </row>
    <row r="24" spans="1:3" x14ac:dyDescent="0.25">
      <c r="A24" s="1" t="str">
        <f t="shared" si="1"/>
        <v/>
      </c>
      <c r="C24" s="1" t="str">
        <f t="shared" si="0"/>
        <v/>
      </c>
    </row>
    <row r="25" spans="1:3" x14ac:dyDescent="0.25">
      <c r="A25" s="1" t="str">
        <f t="shared" si="1"/>
        <v/>
      </c>
      <c r="C25" s="1" t="str">
        <f t="shared" si="0"/>
        <v/>
      </c>
    </row>
    <row r="26" spans="1:3" x14ac:dyDescent="0.25">
      <c r="A26" s="1" t="str">
        <f t="shared" si="1"/>
        <v/>
      </c>
      <c r="C26" s="1" t="str">
        <f t="shared" si="0"/>
        <v/>
      </c>
    </row>
    <row r="27" spans="1:3" x14ac:dyDescent="0.25">
      <c r="A27" s="1" t="str">
        <f t="shared" si="1"/>
        <v/>
      </c>
      <c r="C27" s="1" t="str">
        <f t="shared" si="0"/>
        <v/>
      </c>
    </row>
    <row r="28" spans="1:3" x14ac:dyDescent="0.25">
      <c r="A28" s="1" t="str">
        <f t="shared" si="1"/>
        <v/>
      </c>
      <c r="C28" s="1" t="str">
        <f t="shared" si="0"/>
        <v/>
      </c>
    </row>
    <row r="29" spans="1:3" x14ac:dyDescent="0.25">
      <c r="A29" s="1" t="str">
        <f t="shared" si="1"/>
        <v/>
      </c>
      <c r="C29" s="1" t="str">
        <f t="shared" si="0"/>
        <v/>
      </c>
    </row>
    <row r="30" spans="1:3" x14ac:dyDescent="0.25">
      <c r="A30" s="1" t="str">
        <f t="shared" si="1"/>
        <v/>
      </c>
      <c r="C30" s="1" t="str">
        <f t="shared" si="0"/>
        <v/>
      </c>
    </row>
    <row r="31" spans="1:3" x14ac:dyDescent="0.25">
      <c r="A31" s="1" t="str">
        <f t="shared" si="1"/>
        <v/>
      </c>
      <c r="C31" s="1" t="str">
        <f t="shared" si="0"/>
        <v/>
      </c>
    </row>
    <row r="32" spans="1:3" x14ac:dyDescent="0.25">
      <c r="A32" s="1" t="str">
        <f t="shared" si="1"/>
        <v/>
      </c>
      <c r="C32" s="1" t="str">
        <f t="shared" si="0"/>
        <v/>
      </c>
    </row>
    <row r="33" spans="1:3" x14ac:dyDescent="0.25">
      <c r="A33" s="1" t="str">
        <f t="shared" si="1"/>
        <v/>
      </c>
      <c r="C33" s="1" t="str">
        <f t="shared" si="0"/>
        <v/>
      </c>
    </row>
    <row r="34" spans="1:3" x14ac:dyDescent="0.25">
      <c r="A34" s="1" t="str">
        <f t="shared" si="1"/>
        <v/>
      </c>
      <c r="C34" s="1" t="str">
        <f t="shared" si="0"/>
        <v/>
      </c>
    </row>
    <row r="35" spans="1:3" x14ac:dyDescent="0.25">
      <c r="A35" s="1" t="str">
        <f t="shared" si="1"/>
        <v/>
      </c>
      <c r="C35" s="1" t="str">
        <f t="shared" si="0"/>
        <v/>
      </c>
    </row>
    <row r="36" spans="1:3" x14ac:dyDescent="0.25">
      <c r="A36" s="1" t="str">
        <f t="shared" si="1"/>
        <v/>
      </c>
      <c r="C36" s="1" t="str">
        <f t="shared" si="0"/>
        <v/>
      </c>
    </row>
    <row r="37" spans="1:3" x14ac:dyDescent="0.25">
      <c r="A37" s="1" t="str">
        <f t="shared" si="1"/>
        <v/>
      </c>
      <c r="C37" s="1" t="str">
        <f t="shared" si="0"/>
        <v/>
      </c>
    </row>
    <row r="38" spans="1:3" x14ac:dyDescent="0.25">
      <c r="A38" s="1" t="str">
        <f t="shared" si="1"/>
        <v/>
      </c>
      <c r="C38" s="1" t="str">
        <f t="shared" si="0"/>
        <v/>
      </c>
    </row>
    <row r="39" spans="1:3" x14ac:dyDescent="0.25">
      <c r="A39" s="1" t="str">
        <f t="shared" si="1"/>
        <v/>
      </c>
      <c r="C39" s="1" t="str">
        <f t="shared" si="0"/>
        <v/>
      </c>
    </row>
    <row r="40" spans="1:3" x14ac:dyDescent="0.25">
      <c r="A40" s="1" t="str">
        <f t="shared" si="1"/>
        <v/>
      </c>
      <c r="C40" s="1" t="str">
        <f t="shared" si="0"/>
        <v/>
      </c>
    </row>
    <row r="41" spans="1:3" x14ac:dyDescent="0.25">
      <c r="A41" s="1" t="str">
        <f t="shared" si="1"/>
        <v/>
      </c>
      <c r="C41" s="1" t="str">
        <f t="shared" si="0"/>
        <v/>
      </c>
    </row>
    <row r="42" spans="1:3" x14ac:dyDescent="0.25">
      <c r="A42" s="1" t="str">
        <f t="shared" si="1"/>
        <v/>
      </c>
      <c r="C42" s="1" t="str">
        <f t="shared" si="0"/>
        <v/>
      </c>
    </row>
    <row r="43" spans="1:3" x14ac:dyDescent="0.25">
      <c r="A43" s="1" t="str">
        <f t="shared" si="1"/>
        <v/>
      </c>
      <c r="C43" s="1" t="str">
        <f t="shared" si="0"/>
        <v/>
      </c>
    </row>
    <row r="44" spans="1:3" x14ac:dyDescent="0.25">
      <c r="A44" s="1" t="str">
        <f t="shared" si="1"/>
        <v/>
      </c>
      <c r="C44" s="1" t="str">
        <f t="shared" si="0"/>
        <v/>
      </c>
    </row>
    <row r="45" spans="1:3" x14ac:dyDescent="0.25">
      <c r="A45" s="1" t="str">
        <f t="shared" si="1"/>
        <v/>
      </c>
      <c r="C45" s="1" t="str">
        <f t="shared" si="0"/>
        <v/>
      </c>
    </row>
    <row r="46" spans="1:3" x14ac:dyDescent="0.25">
      <c r="A46" s="1" t="str">
        <f t="shared" si="1"/>
        <v/>
      </c>
      <c r="C46" s="1" t="str">
        <f t="shared" si="0"/>
        <v/>
      </c>
    </row>
    <row r="47" spans="1:3" x14ac:dyDescent="0.25">
      <c r="A47" s="1" t="str">
        <f t="shared" si="1"/>
        <v/>
      </c>
      <c r="C47" s="1" t="str">
        <f t="shared" si="0"/>
        <v/>
      </c>
    </row>
    <row r="48" spans="1:3" x14ac:dyDescent="0.25">
      <c r="A48" s="1" t="str">
        <f t="shared" si="1"/>
        <v/>
      </c>
      <c r="C48" s="1" t="str">
        <f t="shared" si="0"/>
        <v/>
      </c>
    </row>
    <row r="49" spans="1:3" x14ac:dyDescent="0.25">
      <c r="A49" s="1" t="str">
        <f t="shared" si="1"/>
        <v/>
      </c>
      <c r="C49" s="1" t="str">
        <f t="shared" si="0"/>
        <v/>
      </c>
    </row>
    <row r="50" spans="1:3" x14ac:dyDescent="0.25">
      <c r="A50" s="1" t="str">
        <f t="shared" si="1"/>
        <v/>
      </c>
      <c r="C50" s="1" t="str">
        <f t="shared" si="0"/>
        <v/>
      </c>
    </row>
    <row r="51" spans="1:3" x14ac:dyDescent="0.25">
      <c r="A51" s="1" t="str">
        <f t="shared" si="1"/>
        <v/>
      </c>
      <c r="C51" s="1" t="str">
        <f t="shared" si="0"/>
        <v/>
      </c>
    </row>
    <row r="52" spans="1:3" x14ac:dyDescent="0.25">
      <c r="A52" s="1" t="str">
        <f t="shared" si="1"/>
        <v/>
      </c>
      <c r="C52" s="1" t="str">
        <f t="shared" si="0"/>
        <v/>
      </c>
    </row>
    <row r="53" spans="1:3" x14ac:dyDescent="0.25">
      <c r="A53" s="1" t="str">
        <f t="shared" si="1"/>
        <v/>
      </c>
      <c r="C53" s="1" t="str">
        <f t="shared" si="0"/>
        <v/>
      </c>
    </row>
    <row r="54" spans="1:3" x14ac:dyDescent="0.25">
      <c r="A54" s="1" t="str">
        <f t="shared" si="1"/>
        <v/>
      </c>
      <c r="C54" s="1" t="str">
        <f t="shared" si="0"/>
        <v/>
      </c>
    </row>
    <row r="55" spans="1:3" x14ac:dyDescent="0.25">
      <c r="A55" s="1" t="str">
        <f t="shared" si="1"/>
        <v/>
      </c>
      <c r="C55" s="1" t="str">
        <f t="shared" si="0"/>
        <v/>
      </c>
    </row>
    <row r="56" spans="1:3" x14ac:dyDescent="0.25">
      <c r="A56" s="1" t="str">
        <f t="shared" si="1"/>
        <v/>
      </c>
      <c r="C56" s="1" t="str">
        <f t="shared" si="0"/>
        <v/>
      </c>
    </row>
    <row r="57" spans="1:3" x14ac:dyDescent="0.25">
      <c r="A57" s="1" t="str">
        <f t="shared" si="1"/>
        <v/>
      </c>
      <c r="C57" s="1" t="str">
        <f t="shared" si="0"/>
        <v/>
      </c>
    </row>
    <row r="58" spans="1:3" x14ac:dyDescent="0.25">
      <c r="A58" s="1" t="str">
        <f t="shared" si="1"/>
        <v/>
      </c>
      <c r="C58" s="1" t="str">
        <f t="shared" si="0"/>
        <v/>
      </c>
    </row>
    <row r="59" spans="1:3" x14ac:dyDescent="0.25">
      <c r="A59" s="1" t="str">
        <f t="shared" si="1"/>
        <v/>
      </c>
      <c r="C59" s="1" t="str">
        <f t="shared" si="0"/>
        <v/>
      </c>
    </row>
    <row r="60" spans="1:3" x14ac:dyDescent="0.25">
      <c r="A60" s="1" t="str">
        <f t="shared" si="1"/>
        <v/>
      </c>
      <c r="C60" s="1" t="str">
        <f t="shared" si="0"/>
        <v/>
      </c>
    </row>
    <row r="61" spans="1:3" x14ac:dyDescent="0.25">
      <c r="A61" s="1" t="str">
        <f t="shared" si="1"/>
        <v/>
      </c>
      <c r="C61" s="1" t="str">
        <f t="shared" si="0"/>
        <v/>
      </c>
    </row>
    <row r="62" spans="1:3" x14ac:dyDescent="0.25">
      <c r="A62" s="1" t="str">
        <f t="shared" si="1"/>
        <v/>
      </c>
      <c r="C62" s="1" t="str">
        <f t="shared" si="0"/>
        <v/>
      </c>
    </row>
    <row r="63" spans="1:3" x14ac:dyDescent="0.25">
      <c r="A63" s="1" t="str">
        <f t="shared" si="1"/>
        <v/>
      </c>
      <c r="C63" s="1" t="str">
        <f t="shared" si="0"/>
        <v/>
      </c>
    </row>
    <row r="64" spans="1:3" x14ac:dyDescent="0.25">
      <c r="A64" s="1" t="str">
        <f t="shared" si="1"/>
        <v/>
      </c>
      <c r="C64" s="1" t="str">
        <f t="shared" si="0"/>
        <v/>
      </c>
    </row>
    <row r="65" spans="1:3" x14ac:dyDescent="0.25">
      <c r="A65" s="1" t="str">
        <f t="shared" si="1"/>
        <v/>
      </c>
      <c r="C65" s="1" t="str">
        <f t="shared" si="0"/>
        <v/>
      </c>
    </row>
    <row r="66" spans="1:3" x14ac:dyDescent="0.25">
      <c r="A66" s="1" t="str">
        <f t="shared" si="1"/>
        <v/>
      </c>
      <c r="C66" s="1" t="str">
        <f t="shared" ref="C66:C129" si="2">IF(LEN(IFERROR(VLOOKUP(B66,Reqs_and_Explanation,3,FALSE),""))&lt;3,"",IFERROR(VLOOKUP(B66,Reqs_and_Explanation,3,FALSE),""))</f>
        <v/>
      </c>
    </row>
    <row r="67" spans="1:3" x14ac:dyDescent="0.25">
      <c r="A67" s="1" t="str">
        <f t="shared" ref="A67:A130" si="3">IF(ISBLANK(B67),"","E"&amp;TEXT(ROW()-1,"000"))</f>
        <v/>
      </c>
      <c r="C67" s="1" t="str">
        <f t="shared" si="2"/>
        <v/>
      </c>
    </row>
    <row r="68" spans="1:3" x14ac:dyDescent="0.25">
      <c r="A68" s="1" t="str">
        <f t="shared" si="3"/>
        <v/>
      </c>
      <c r="C68" s="1" t="str">
        <f t="shared" si="2"/>
        <v/>
      </c>
    </row>
    <row r="69" spans="1:3" x14ac:dyDescent="0.25">
      <c r="A69" s="1" t="str">
        <f t="shared" si="3"/>
        <v/>
      </c>
      <c r="C69" s="1" t="str">
        <f t="shared" si="2"/>
        <v/>
      </c>
    </row>
    <row r="70" spans="1:3" x14ac:dyDescent="0.25">
      <c r="A70" s="1" t="str">
        <f t="shared" si="3"/>
        <v/>
      </c>
      <c r="C70" s="1" t="str">
        <f t="shared" si="2"/>
        <v/>
      </c>
    </row>
    <row r="71" spans="1:3" x14ac:dyDescent="0.25">
      <c r="A71" s="1" t="str">
        <f t="shared" si="3"/>
        <v/>
      </c>
      <c r="C71" s="1" t="str">
        <f t="shared" si="2"/>
        <v/>
      </c>
    </row>
    <row r="72" spans="1:3" x14ac:dyDescent="0.25">
      <c r="A72" s="1" t="str">
        <f t="shared" si="3"/>
        <v/>
      </c>
      <c r="C72" s="1" t="str">
        <f t="shared" si="2"/>
        <v/>
      </c>
    </row>
    <row r="73" spans="1:3" x14ac:dyDescent="0.25">
      <c r="A73" s="1" t="str">
        <f t="shared" si="3"/>
        <v/>
      </c>
      <c r="C73" s="1" t="str">
        <f t="shared" si="2"/>
        <v/>
      </c>
    </row>
    <row r="74" spans="1:3" x14ac:dyDescent="0.25">
      <c r="A74" s="1" t="str">
        <f t="shared" si="3"/>
        <v/>
      </c>
      <c r="C74" s="1" t="str">
        <f t="shared" si="2"/>
        <v/>
      </c>
    </row>
    <row r="75" spans="1:3" x14ac:dyDescent="0.25">
      <c r="A75" s="1" t="str">
        <f t="shared" si="3"/>
        <v/>
      </c>
      <c r="C75" s="1" t="str">
        <f t="shared" si="2"/>
        <v/>
      </c>
    </row>
    <row r="76" spans="1:3" x14ac:dyDescent="0.25">
      <c r="A76" s="1" t="str">
        <f t="shared" si="3"/>
        <v/>
      </c>
      <c r="C76" s="1" t="str">
        <f t="shared" si="2"/>
        <v/>
      </c>
    </row>
    <row r="77" spans="1:3" x14ac:dyDescent="0.25">
      <c r="A77" s="1" t="str">
        <f t="shared" si="3"/>
        <v/>
      </c>
      <c r="C77" s="1" t="str">
        <f t="shared" si="2"/>
        <v/>
      </c>
    </row>
    <row r="78" spans="1:3" x14ac:dyDescent="0.25">
      <c r="A78" s="1" t="str">
        <f t="shared" si="3"/>
        <v/>
      </c>
      <c r="C78" s="1" t="str">
        <f t="shared" si="2"/>
        <v/>
      </c>
    </row>
    <row r="79" spans="1:3" x14ac:dyDescent="0.25">
      <c r="A79" s="1" t="str">
        <f t="shared" si="3"/>
        <v/>
      </c>
      <c r="C79" s="1" t="str">
        <f t="shared" si="2"/>
        <v/>
      </c>
    </row>
    <row r="80" spans="1:3" x14ac:dyDescent="0.25">
      <c r="A80" s="1" t="str">
        <f t="shared" si="3"/>
        <v/>
      </c>
      <c r="C80" s="1" t="str">
        <f t="shared" si="2"/>
        <v/>
      </c>
    </row>
    <row r="81" spans="1:3" x14ac:dyDescent="0.25">
      <c r="A81" s="1" t="str">
        <f t="shared" si="3"/>
        <v/>
      </c>
      <c r="C81" s="1" t="str">
        <f t="shared" si="2"/>
        <v/>
      </c>
    </row>
    <row r="82" spans="1:3" x14ac:dyDescent="0.25">
      <c r="A82" s="1" t="str">
        <f t="shared" si="3"/>
        <v/>
      </c>
      <c r="C82" s="1" t="str">
        <f t="shared" si="2"/>
        <v/>
      </c>
    </row>
    <row r="83" spans="1:3" x14ac:dyDescent="0.25">
      <c r="A83" s="1" t="str">
        <f t="shared" si="3"/>
        <v/>
      </c>
      <c r="C83" s="1" t="str">
        <f t="shared" si="2"/>
        <v/>
      </c>
    </row>
    <row r="84" spans="1:3" x14ac:dyDescent="0.25">
      <c r="A84" s="1" t="str">
        <f t="shared" si="3"/>
        <v/>
      </c>
      <c r="C84" s="1" t="str">
        <f t="shared" si="2"/>
        <v/>
      </c>
    </row>
    <row r="85" spans="1:3" x14ac:dyDescent="0.25">
      <c r="A85" s="1" t="str">
        <f t="shared" si="3"/>
        <v/>
      </c>
      <c r="C85" s="1" t="str">
        <f t="shared" si="2"/>
        <v/>
      </c>
    </row>
    <row r="86" spans="1:3" x14ac:dyDescent="0.25">
      <c r="A86" s="1" t="str">
        <f t="shared" si="3"/>
        <v/>
      </c>
      <c r="C86" s="1" t="str">
        <f t="shared" si="2"/>
        <v/>
      </c>
    </row>
    <row r="87" spans="1:3" x14ac:dyDescent="0.25">
      <c r="A87" s="1" t="str">
        <f t="shared" si="3"/>
        <v/>
      </c>
      <c r="C87" s="1" t="str">
        <f t="shared" si="2"/>
        <v/>
      </c>
    </row>
    <row r="88" spans="1:3" x14ac:dyDescent="0.25">
      <c r="A88" s="1" t="str">
        <f t="shared" si="3"/>
        <v/>
      </c>
      <c r="C88" s="1" t="str">
        <f t="shared" si="2"/>
        <v/>
      </c>
    </row>
    <row r="89" spans="1:3" x14ac:dyDescent="0.25">
      <c r="A89" s="1" t="str">
        <f t="shared" si="3"/>
        <v/>
      </c>
      <c r="C89" s="1" t="str">
        <f t="shared" si="2"/>
        <v/>
      </c>
    </row>
    <row r="90" spans="1:3" x14ac:dyDescent="0.25">
      <c r="A90" s="1" t="str">
        <f t="shared" si="3"/>
        <v/>
      </c>
      <c r="C90" s="1" t="str">
        <f t="shared" si="2"/>
        <v/>
      </c>
    </row>
    <row r="91" spans="1:3" x14ac:dyDescent="0.25">
      <c r="A91" s="1" t="str">
        <f t="shared" si="3"/>
        <v/>
      </c>
      <c r="C91" s="1" t="str">
        <f t="shared" si="2"/>
        <v/>
      </c>
    </row>
    <row r="92" spans="1:3" x14ac:dyDescent="0.25">
      <c r="A92" s="1" t="str">
        <f t="shared" si="3"/>
        <v/>
      </c>
      <c r="C92" s="1" t="str">
        <f t="shared" si="2"/>
        <v/>
      </c>
    </row>
    <row r="93" spans="1:3" x14ac:dyDescent="0.25">
      <c r="A93" s="1" t="str">
        <f t="shared" si="3"/>
        <v/>
      </c>
      <c r="C93" s="1" t="str">
        <f t="shared" si="2"/>
        <v/>
      </c>
    </row>
    <row r="94" spans="1:3" x14ac:dyDescent="0.25">
      <c r="A94" s="1" t="str">
        <f t="shared" si="3"/>
        <v/>
      </c>
      <c r="C94" s="1" t="str">
        <f t="shared" si="2"/>
        <v/>
      </c>
    </row>
    <row r="95" spans="1:3" x14ac:dyDescent="0.25">
      <c r="A95" s="1" t="str">
        <f t="shared" si="3"/>
        <v/>
      </c>
      <c r="C95" s="1" t="str">
        <f t="shared" si="2"/>
        <v/>
      </c>
    </row>
    <row r="96" spans="1:3" x14ac:dyDescent="0.25">
      <c r="A96" s="1" t="str">
        <f t="shared" si="3"/>
        <v/>
      </c>
      <c r="C96" s="1" t="str">
        <f t="shared" si="2"/>
        <v/>
      </c>
    </row>
    <row r="97" spans="1:3" x14ac:dyDescent="0.25">
      <c r="A97" s="1" t="str">
        <f t="shared" si="3"/>
        <v/>
      </c>
      <c r="C97" s="1" t="str">
        <f t="shared" si="2"/>
        <v/>
      </c>
    </row>
    <row r="98" spans="1:3" x14ac:dyDescent="0.25">
      <c r="A98" s="1" t="str">
        <f t="shared" si="3"/>
        <v/>
      </c>
      <c r="C98" s="1" t="str">
        <f t="shared" si="2"/>
        <v/>
      </c>
    </row>
    <row r="99" spans="1:3" x14ac:dyDescent="0.25">
      <c r="A99" s="1" t="str">
        <f t="shared" si="3"/>
        <v/>
      </c>
      <c r="C99" s="1" t="str">
        <f t="shared" si="2"/>
        <v/>
      </c>
    </row>
    <row r="100" spans="1:3" x14ac:dyDescent="0.25">
      <c r="A100" s="1" t="str">
        <f t="shared" si="3"/>
        <v/>
      </c>
      <c r="C100" s="1" t="str">
        <f t="shared" si="2"/>
        <v/>
      </c>
    </row>
    <row r="101" spans="1:3" x14ac:dyDescent="0.25">
      <c r="A101" s="1" t="str">
        <f t="shared" si="3"/>
        <v/>
      </c>
      <c r="C101" s="1" t="str">
        <f t="shared" si="2"/>
        <v/>
      </c>
    </row>
    <row r="102" spans="1:3" x14ac:dyDescent="0.25">
      <c r="A102" s="1" t="str">
        <f t="shared" si="3"/>
        <v/>
      </c>
      <c r="C102" s="1" t="str">
        <f t="shared" si="2"/>
        <v/>
      </c>
    </row>
    <row r="103" spans="1:3" x14ac:dyDescent="0.25">
      <c r="A103" s="1" t="str">
        <f t="shared" si="3"/>
        <v/>
      </c>
      <c r="C103" s="1" t="str">
        <f t="shared" si="2"/>
        <v/>
      </c>
    </row>
    <row r="104" spans="1:3" x14ac:dyDescent="0.25">
      <c r="A104" s="1" t="str">
        <f t="shared" si="3"/>
        <v/>
      </c>
      <c r="C104" s="1" t="str">
        <f t="shared" si="2"/>
        <v/>
      </c>
    </row>
    <row r="105" spans="1:3" x14ac:dyDescent="0.25">
      <c r="A105" s="1" t="str">
        <f t="shared" si="3"/>
        <v/>
      </c>
      <c r="C105" s="1" t="str">
        <f t="shared" si="2"/>
        <v/>
      </c>
    </row>
    <row r="106" spans="1:3" x14ac:dyDescent="0.25">
      <c r="A106" s="1" t="str">
        <f t="shared" si="3"/>
        <v/>
      </c>
      <c r="C106" s="1" t="str">
        <f t="shared" si="2"/>
        <v/>
      </c>
    </row>
    <row r="107" spans="1:3" x14ac:dyDescent="0.25">
      <c r="A107" s="1" t="str">
        <f t="shared" si="3"/>
        <v/>
      </c>
      <c r="C107" s="1" t="str">
        <f t="shared" si="2"/>
        <v/>
      </c>
    </row>
    <row r="108" spans="1:3" x14ac:dyDescent="0.25">
      <c r="A108" s="1" t="str">
        <f t="shared" si="3"/>
        <v/>
      </c>
      <c r="C108" s="1" t="str">
        <f t="shared" si="2"/>
        <v/>
      </c>
    </row>
    <row r="109" spans="1:3" x14ac:dyDescent="0.25">
      <c r="A109" s="1" t="str">
        <f t="shared" si="3"/>
        <v/>
      </c>
      <c r="C109" s="1" t="str">
        <f t="shared" si="2"/>
        <v/>
      </c>
    </row>
    <row r="110" spans="1:3" x14ac:dyDescent="0.25">
      <c r="A110" s="1" t="str">
        <f t="shared" si="3"/>
        <v/>
      </c>
      <c r="C110" s="1" t="str">
        <f t="shared" si="2"/>
        <v/>
      </c>
    </row>
    <row r="111" spans="1:3" x14ac:dyDescent="0.25">
      <c r="A111" s="1" t="str">
        <f t="shared" si="3"/>
        <v/>
      </c>
      <c r="C111" s="1" t="str">
        <f t="shared" si="2"/>
        <v/>
      </c>
    </row>
    <row r="112" spans="1:3" x14ac:dyDescent="0.25">
      <c r="A112" s="1" t="str">
        <f t="shared" si="3"/>
        <v/>
      </c>
      <c r="C112" s="1" t="str">
        <f t="shared" si="2"/>
        <v/>
      </c>
    </row>
    <row r="113" spans="1:3" x14ac:dyDescent="0.25">
      <c r="A113" s="1" t="str">
        <f t="shared" si="3"/>
        <v/>
      </c>
      <c r="C113" s="1" t="str">
        <f t="shared" si="2"/>
        <v/>
      </c>
    </row>
    <row r="114" spans="1:3" x14ac:dyDescent="0.25">
      <c r="A114" s="1" t="str">
        <f t="shared" si="3"/>
        <v/>
      </c>
      <c r="C114" s="1" t="str">
        <f t="shared" si="2"/>
        <v/>
      </c>
    </row>
    <row r="115" spans="1:3" x14ac:dyDescent="0.25">
      <c r="A115" s="1" t="str">
        <f t="shared" si="3"/>
        <v/>
      </c>
      <c r="C115" s="1" t="str">
        <f t="shared" si="2"/>
        <v/>
      </c>
    </row>
    <row r="116" spans="1:3" x14ac:dyDescent="0.25">
      <c r="A116" s="1" t="str">
        <f t="shared" si="3"/>
        <v/>
      </c>
      <c r="C116" s="1" t="str">
        <f t="shared" si="2"/>
        <v/>
      </c>
    </row>
    <row r="117" spans="1:3" x14ac:dyDescent="0.25">
      <c r="A117" s="1" t="str">
        <f t="shared" si="3"/>
        <v/>
      </c>
      <c r="C117" s="1" t="str">
        <f t="shared" si="2"/>
        <v/>
      </c>
    </row>
    <row r="118" spans="1:3" x14ac:dyDescent="0.25">
      <c r="A118" s="1" t="str">
        <f t="shared" si="3"/>
        <v/>
      </c>
      <c r="C118" s="1" t="str">
        <f t="shared" si="2"/>
        <v/>
      </c>
    </row>
    <row r="119" spans="1:3" x14ac:dyDescent="0.25">
      <c r="A119" s="1" t="str">
        <f t="shared" si="3"/>
        <v/>
      </c>
      <c r="C119" s="1" t="str">
        <f t="shared" si="2"/>
        <v/>
      </c>
    </row>
    <row r="120" spans="1:3" x14ac:dyDescent="0.25">
      <c r="A120" s="1" t="str">
        <f t="shared" si="3"/>
        <v/>
      </c>
      <c r="C120" s="1" t="str">
        <f t="shared" si="2"/>
        <v/>
      </c>
    </row>
    <row r="121" spans="1:3" x14ac:dyDescent="0.25">
      <c r="A121" s="1" t="str">
        <f t="shared" si="3"/>
        <v/>
      </c>
      <c r="C121" s="1" t="str">
        <f t="shared" si="2"/>
        <v/>
      </c>
    </row>
    <row r="122" spans="1:3" x14ac:dyDescent="0.25">
      <c r="A122" s="1" t="str">
        <f t="shared" si="3"/>
        <v/>
      </c>
      <c r="C122" s="1" t="str">
        <f t="shared" si="2"/>
        <v/>
      </c>
    </row>
    <row r="123" spans="1:3" x14ac:dyDescent="0.25">
      <c r="A123" s="1" t="str">
        <f t="shared" si="3"/>
        <v/>
      </c>
      <c r="C123" s="1" t="str">
        <f t="shared" si="2"/>
        <v/>
      </c>
    </row>
    <row r="124" spans="1:3" x14ac:dyDescent="0.25">
      <c r="A124" s="1" t="str">
        <f t="shared" si="3"/>
        <v/>
      </c>
      <c r="C124" s="1" t="str">
        <f t="shared" si="2"/>
        <v/>
      </c>
    </row>
    <row r="125" spans="1:3" x14ac:dyDescent="0.25">
      <c r="A125" s="1" t="str">
        <f t="shared" si="3"/>
        <v/>
      </c>
      <c r="C125" s="1" t="str">
        <f t="shared" si="2"/>
        <v/>
      </c>
    </row>
    <row r="126" spans="1:3" x14ac:dyDescent="0.25">
      <c r="A126" s="1" t="str">
        <f t="shared" si="3"/>
        <v/>
      </c>
      <c r="C126" s="1" t="str">
        <f t="shared" si="2"/>
        <v/>
      </c>
    </row>
    <row r="127" spans="1:3" x14ac:dyDescent="0.25">
      <c r="A127" s="1" t="str">
        <f t="shared" si="3"/>
        <v/>
      </c>
      <c r="C127" s="1" t="str">
        <f t="shared" si="2"/>
        <v/>
      </c>
    </row>
    <row r="128" spans="1:3" x14ac:dyDescent="0.25">
      <c r="A128" s="1" t="str">
        <f t="shared" si="3"/>
        <v/>
      </c>
      <c r="C128" s="1" t="str">
        <f t="shared" si="2"/>
        <v/>
      </c>
    </row>
    <row r="129" spans="1:3" x14ac:dyDescent="0.25">
      <c r="A129" s="1" t="str">
        <f t="shared" si="3"/>
        <v/>
      </c>
      <c r="C129" s="1" t="str">
        <f t="shared" si="2"/>
        <v/>
      </c>
    </row>
    <row r="130" spans="1:3" x14ac:dyDescent="0.25">
      <c r="A130" s="1" t="str">
        <f t="shared" si="3"/>
        <v/>
      </c>
      <c r="C130" s="1" t="str">
        <f t="shared" ref="C130:C193" si="4">IF(LEN(IFERROR(VLOOKUP(B130,Reqs_and_Explanation,3,FALSE),""))&lt;3,"",IFERROR(VLOOKUP(B130,Reqs_and_Explanation,3,FALSE),""))</f>
        <v/>
      </c>
    </row>
    <row r="131" spans="1:3" x14ac:dyDescent="0.25">
      <c r="A131" s="1" t="str">
        <f t="shared" ref="A131:A194" si="5">IF(ISBLANK(B131),"","E"&amp;TEXT(ROW()-1,"000"))</f>
        <v/>
      </c>
      <c r="C131" s="1" t="str">
        <f t="shared" si="4"/>
        <v/>
      </c>
    </row>
    <row r="132" spans="1:3" x14ac:dyDescent="0.25">
      <c r="A132" s="1" t="str">
        <f t="shared" si="5"/>
        <v/>
      </c>
      <c r="C132" s="1" t="str">
        <f t="shared" si="4"/>
        <v/>
      </c>
    </row>
    <row r="133" spans="1:3" x14ac:dyDescent="0.25">
      <c r="A133" s="1" t="str">
        <f t="shared" si="5"/>
        <v/>
      </c>
      <c r="C133" s="1" t="str">
        <f t="shared" si="4"/>
        <v/>
      </c>
    </row>
    <row r="134" spans="1:3" x14ac:dyDescent="0.25">
      <c r="A134" s="1" t="str">
        <f t="shared" si="5"/>
        <v/>
      </c>
      <c r="C134" s="1" t="str">
        <f t="shared" si="4"/>
        <v/>
      </c>
    </row>
    <row r="135" spans="1:3" x14ac:dyDescent="0.25">
      <c r="A135" s="1" t="str">
        <f t="shared" si="5"/>
        <v/>
      </c>
      <c r="C135" s="1" t="str">
        <f t="shared" si="4"/>
        <v/>
      </c>
    </row>
    <row r="136" spans="1:3" x14ac:dyDescent="0.25">
      <c r="A136" s="1" t="str">
        <f t="shared" si="5"/>
        <v/>
      </c>
      <c r="C136" s="1" t="str">
        <f t="shared" si="4"/>
        <v/>
      </c>
    </row>
    <row r="137" spans="1:3" x14ac:dyDescent="0.25">
      <c r="A137" s="1" t="str">
        <f t="shared" si="5"/>
        <v/>
      </c>
      <c r="C137" s="1" t="str">
        <f t="shared" si="4"/>
        <v/>
      </c>
    </row>
    <row r="138" spans="1:3" x14ac:dyDescent="0.25">
      <c r="A138" s="1" t="str">
        <f t="shared" si="5"/>
        <v/>
      </c>
      <c r="C138" s="1" t="str">
        <f t="shared" si="4"/>
        <v/>
      </c>
    </row>
    <row r="139" spans="1:3" x14ac:dyDescent="0.25">
      <c r="A139" s="1" t="str">
        <f t="shared" si="5"/>
        <v/>
      </c>
      <c r="C139" s="1" t="str">
        <f t="shared" si="4"/>
        <v/>
      </c>
    </row>
    <row r="140" spans="1:3" x14ac:dyDescent="0.25">
      <c r="A140" s="1" t="str">
        <f t="shared" si="5"/>
        <v/>
      </c>
      <c r="C140" s="1" t="str">
        <f t="shared" si="4"/>
        <v/>
      </c>
    </row>
    <row r="141" spans="1:3" x14ac:dyDescent="0.25">
      <c r="A141" s="1" t="str">
        <f t="shared" si="5"/>
        <v/>
      </c>
      <c r="C141" s="1" t="str">
        <f t="shared" si="4"/>
        <v/>
      </c>
    </row>
    <row r="142" spans="1:3" x14ac:dyDescent="0.25">
      <c r="A142" s="1" t="str">
        <f t="shared" si="5"/>
        <v/>
      </c>
      <c r="C142" s="1" t="str">
        <f t="shared" si="4"/>
        <v/>
      </c>
    </row>
    <row r="143" spans="1:3" x14ac:dyDescent="0.25">
      <c r="A143" s="1" t="str">
        <f t="shared" si="5"/>
        <v/>
      </c>
      <c r="C143" s="1" t="str">
        <f t="shared" si="4"/>
        <v/>
      </c>
    </row>
    <row r="144" spans="1:3" x14ac:dyDescent="0.25">
      <c r="A144" s="1" t="str">
        <f t="shared" si="5"/>
        <v/>
      </c>
      <c r="C144" s="1" t="str">
        <f t="shared" si="4"/>
        <v/>
      </c>
    </row>
    <row r="145" spans="1:3" x14ac:dyDescent="0.25">
      <c r="A145" s="1" t="str">
        <f t="shared" si="5"/>
        <v/>
      </c>
      <c r="C145" s="1" t="str">
        <f t="shared" si="4"/>
        <v/>
      </c>
    </row>
    <row r="146" spans="1:3" x14ac:dyDescent="0.25">
      <c r="A146" s="1" t="str">
        <f t="shared" si="5"/>
        <v/>
      </c>
      <c r="C146" s="1" t="str">
        <f t="shared" si="4"/>
        <v/>
      </c>
    </row>
    <row r="147" spans="1:3" x14ac:dyDescent="0.25">
      <c r="A147" s="1" t="str">
        <f t="shared" si="5"/>
        <v/>
      </c>
      <c r="C147" s="1" t="str">
        <f t="shared" si="4"/>
        <v/>
      </c>
    </row>
    <row r="148" spans="1:3" x14ac:dyDescent="0.25">
      <c r="A148" s="1" t="str">
        <f t="shared" si="5"/>
        <v/>
      </c>
      <c r="C148" s="1" t="str">
        <f t="shared" si="4"/>
        <v/>
      </c>
    </row>
    <row r="149" spans="1:3" x14ac:dyDescent="0.25">
      <c r="A149" s="1" t="str">
        <f t="shared" si="5"/>
        <v/>
      </c>
      <c r="C149" s="1" t="str">
        <f t="shared" si="4"/>
        <v/>
      </c>
    </row>
    <row r="150" spans="1:3" x14ac:dyDescent="0.25">
      <c r="A150" s="1" t="str">
        <f t="shared" si="5"/>
        <v/>
      </c>
      <c r="C150" s="1" t="str">
        <f t="shared" si="4"/>
        <v/>
      </c>
    </row>
    <row r="151" spans="1:3" x14ac:dyDescent="0.25">
      <c r="A151" s="1" t="str">
        <f t="shared" si="5"/>
        <v/>
      </c>
      <c r="C151" s="1" t="str">
        <f t="shared" si="4"/>
        <v/>
      </c>
    </row>
    <row r="152" spans="1:3" x14ac:dyDescent="0.25">
      <c r="A152" s="1" t="str">
        <f t="shared" si="5"/>
        <v/>
      </c>
      <c r="C152" s="1" t="str">
        <f t="shared" si="4"/>
        <v/>
      </c>
    </row>
    <row r="153" spans="1:3" x14ac:dyDescent="0.25">
      <c r="A153" s="1" t="str">
        <f t="shared" si="5"/>
        <v/>
      </c>
      <c r="C153" s="1" t="str">
        <f t="shared" si="4"/>
        <v/>
      </c>
    </row>
    <row r="154" spans="1:3" x14ac:dyDescent="0.25">
      <c r="A154" s="1" t="str">
        <f t="shared" si="5"/>
        <v/>
      </c>
      <c r="C154" s="1" t="str">
        <f t="shared" si="4"/>
        <v/>
      </c>
    </row>
    <row r="155" spans="1:3" x14ac:dyDescent="0.25">
      <c r="A155" s="1" t="str">
        <f t="shared" si="5"/>
        <v/>
      </c>
      <c r="C155" s="1" t="str">
        <f t="shared" si="4"/>
        <v/>
      </c>
    </row>
    <row r="156" spans="1:3" x14ac:dyDescent="0.25">
      <c r="A156" s="1" t="str">
        <f t="shared" si="5"/>
        <v/>
      </c>
      <c r="C156" s="1" t="str">
        <f t="shared" si="4"/>
        <v/>
      </c>
    </row>
    <row r="157" spans="1:3" x14ac:dyDescent="0.25">
      <c r="A157" s="1" t="str">
        <f t="shared" si="5"/>
        <v/>
      </c>
      <c r="C157" s="1" t="str">
        <f t="shared" si="4"/>
        <v/>
      </c>
    </row>
    <row r="158" spans="1:3" x14ac:dyDescent="0.25">
      <c r="A158" s="1" t="str">
        <f t="shared" si="5"/>
        <v/>
      </c>
      <c r="C158" s="1" t="str">
        <f t="shared" si="4"/>
        <v/>
      </c>
    </row>
    <row r="159" spans="1:3" x14ac:dyDescent="0.25">
      <c r="A159" s="1" t="str">
        <f t="shared" si="5"/>
        <v/>
      </c>
      <c r="C159" s="1" t="str">
        <f t="shared" si="4"/>
        <v/>
      </c>
    </row>
    <row r="160" spans="1:3" x14ac:dyDescent="0.25">
      <c r="A160" s="1" t="str">
        <f t="shared" si="5"/>
        <v/>
      </c>
      <c r="C160" s="1" t="str">
        <f t="shared" si="4"/>
        <v/>
      </c>
    </row>
    <row r="161" spans="1:3" x14ac:dyDescent="0.25">
      <c r="A161" s="1" t="str">
        <f t="shared" si="5"/>
        <v/>
      </c>
      <c r="C161" s="1" t="str">
        <f t="shared" si="4"/>
        <v/>
      </c>
    </row>
    <row r="162" spans="1:3" x14ac:dyDescent="0.25">
      <c r="A162" s="1" t="str">
        <f t="shared" si="5"/>
        <v/>
      </c>
      <c r="C162" s="1" t="str">
        <f t="shared" si="4"/>
        <v/>
      </c>
    </row>
    <row r="163" spans="1:3" x14ac:dyDescent="0.25">
      <c r="A163" s="1" t="str">
        <f t="shared" si="5"/>
        <v/>
      </c>
      <c r="C163" s="1" t="str">
        <f t="shared" si="4"/>
        <v/>
      </c>
    </row>
    <row r="164" spans="1:3" x14ac:dyDescent="0.25">
      <c r="A164" s="1" t="str">
        <f t="shared" si="5"/>
        <v/>
      </c>
      <c r="C164" s="1" t="str">
        <f t="shared" si="4"/>
        <v/>
      </c>
    </row>
    <row r="165" spans="1:3" x14ac:dyDescent="0.25">
      <c r="A165" s="1" t="str">
        <f t="shared" si="5"/>
        <v/>
      </c>
      <c r="C165" s="1" t="str">
        <f t="shared" si="4"/>
        <v/>
      </c>
    </row>
    <row r="166" spans="1:3" x14ac:dyDescent="0.25">
      <c r="A166" s="1" t="str">
        <f t="shared" si="5"/>
        <v/>
      </c>
      <c r="C166" s="1" t="str">
        <f t="shared" si="4"/>
        <v/>
      </c>
    </row>
    <row r="167" spans="1:3" x14ac:dyDescent="0.25">
      <c r="A167" s="1" t="str">
        <f t="shared" si="5"/>
        <v/>
      </c>
      <c r="C167" s="1" t="str">
        <f t="shared" si="4"/>
        <v/>
      </c>
    </row>
    <row r="168" spans="1:3" x14ac:dyDescent="0.25">
      <c r="A168" s="1" t="str">
        <f t="shared" si="5"/>
        <v/>
      </c>
      <c r="C168" s="1" t="str">
        <f t="shared" si="4"/>
        <v/>
      </c>
    </row>
    <row r="169" spans="1:3" x14ac:dyDescent="0.25">
      <c r="A169" s="1" t="str">
        <f t="shared" si="5"/>
        <v/>
      </c>
      <c r="C169" s="1" t="str">
        <f t="shared" si="4"/>
        <v/>
      </c>
    </row>
    <row r="170" spans="1:3" x14ac:dyDescent="0.25">
      <c r="A170" s="1" t="str">
        <f t="shared" si="5"/>
        <v/>
      </c>
      <c r="C170" s="1" t="str">
        <f t="shared" si="4"/>
        <v/>
      </c>
    </row>
    <row r="171" spans="1:3" x14ac:dyDescent="0.25">
      <c r="A171" s="1" t="str">
        <f t="shared" si="5"/>
        <v/>
      </c>
      <c r="C171" s="1" t="str">
        <f t="shared" si="4"/>
        <v/>
      </c>
    </row>
    <row r="172" spans="1:3" x14ac:dyDescent="0.25">
      <c r="A172" s="1" t="str">
        <f t="shared" si="5"/>
        <v/>
      </c>
      <c r="C172" s="1" t="str">
        <f t="shared" si="4"/>
        <v/>
      </c>
    </row>
    <row r="173" spans="1:3" x14ac:dyDescent="0.25">
      <c r="A173" s="1" t="str">
        <f t="shared" si="5"/>
        <v/>
      </c>
      <c r="C173" s="1" t="str">
        <f t="shared" si="4"/>
        <v/>
      </c>
    </row>
    <row r="174" spans="1:3" x14ac:dyDescent="0.25">
      <c r="A174" s="1" t="str">
        <f t="shared" si="5"/>
        <v/>
      </c>
      <c r="C174" s="1" t="str">
        <f t="shared" si="4"/>
        <v/>
      </c>
    </row>
    <row r="175" spans="1:3" x14ac:dyDescent="0.25">
      <c r="A175" s="1" t="str">
        <f t="shared" si="5"/>
        <v/>
      </c>
      <c r="C175" s="1" t="str">
        <f t="shared" si="4"/>
        <v/>
      </c>
    </row>
    <row r="176" spans="1:3" x14ac:dyDescent="0.25">
      <c r="A176" s="1" t="str">
        <f t="shared" si="5"/>
        <v/>
      </c>
      <c r="C176" s="1" t="str">
        <f t="shared" si="4"/>
        <v/>
      </c>
    </row>
    <row r="177" spans="1:3" x14ac:dyDescent="0.25">
      <c r="A177" s="1" t="str">
        <f t="shared" si="5"/>
        <v/>
      </c>
      <c r="C177" s="1" t="str">
        <f t="shared" si="4"/>
        <v/>
      </c>
    </row>
    <row r="178" spans="1:3" x14ac:dyDescent="0.25">
      <c r="A178" s="1" t="str">
        <f t="shared" si="5"/>
        <v/>
      </c>
      <c r="C178" s="1" t="str">
        <f t="shared" si="4"/>
        <v/>
      </c>
    </row>
    <row r="179" spans="1:3" x14ac:dyDescent="0.25">
      <c r="A179" s="1" t="str">
        <f t="shared" si="5"/>
        <v/>
      </c>
      <c r="C179" s="1" t="str">
        <f t="shared" si="4"/>
        <v/>
      </c>
    </row>
    <row r="180" spans="1:3" x14ac:dyDescent="0.25">
      <c r="A180" s="1" t="str">
        <f t="shared" si="5"/>
        <v/>
      </c>
      <c r="C180" s="1" t="str">
        <f t="shared" si="4"/>
        <v/>
      </c>
    </row>
    <row r="181" spans="1:3" x14ac:dyDescent="0.25">
      <c r="A181" s="1" t="str">
        <f t="shared" si="5"/>
        <v/>
      </c>
      <c r="C181" s="1" t="str">
        <f t="shared" si="4"/>
        <v/>
      </c>
    </row>
    <row r="182" spans="1:3" x14ac:dyDescent="0.25">
      <c r="A182" s="1" t="str">
        <f t="shared" si="5"/>
        <v/>
      </c>
      <c r="C182" s="1" t="str">
        <f t="shared" si="4"/>
        <v/>
      </c>
    </row>
    <row r="183" spans="1:3" x14ac:dyDescent="0.25">
      <c r="A183" s="1" t="str">
        <f t="shared" si="5"/>
        <v/>
      </c>
      <c r="C183" s="1" t="str">
        <f t="shared" si="4"/>
        <v/>
      </c>
    </row>
    <row r="184" spans="1:3" x14ac:dyDescent="0.25">
      <c r="A184" s="1" t="str">
        <f t="shared" si="5"/>
        <v/>
      </c>
      <c r="C184" s="1" t="str">
        <f t="shared" si="4"/>
        <v/>
      </c>
    </row>
    <row r="185" spans="1:3" x14ac:dyDescent="0.25">
      <c r="A185" s="1" t="str">
        <f t="shared" si="5"/>
        <v/>
      </c>
      <c r="C185" s="1" t="str">
        <f t="shared" si="4"/>
        <v/>
      </c>
    </row>
    <row r="186" spans="1:3" x14ac:dyDescent="0.25">
      <c r="A186" s="1" t="str">
        <f t="shared" si="5"/>
        <v/>
      </c>
      <c r="C186" s="1" t="str">
        <f t="shared" si="4"/>
        <v/>
      </c>
    </row>
    <row r="187" spans="1:3" x14ac:dyDescent="0.25">
      <c r="A187" s="1" t="str">
        <f t="shared" si="5"/>
        <v/>
      </c>
      <c r="C187" s="1" t="str">
        <f t="shared" si="4"/>
        <v/>
      </c>
    </row>
    <row r="188" spans="1:3" x14ac:dyDescent="0.25">
      <c r="A188" s="1" t="str">
        <f t="shared" si="5"/>
        <v/>
      </c>
      <c r="C188" s="1" t="str">
        <f t="shared" si="4"/>
        <v/>
      </c>
    </row>
    <row r="189" spans="1:3" x14ac:dyDescent="0.25">
      <c r="A189" s="1" t="str">
        <f t="shared" si="5"/>
        <v/>
      </c>
      <c r="C189" s="1" t="str">
        <f t="shared" si="4"/>
        <v/>
      </c>
    </row>
    <row r="190" spans="1:3" x14ac:dyDescent="0.25">
      <c r="A190" s="1" t="str">
        <f t="shared" si="5"/>
        <v/>
      </c>
      <c r="C190" s="1" t="str">
        <f t="shared" si="4"/>
        <v/>
      </c>
    </row>
    <row r="191" spans="1:3" x14ac:dyDescent="0.25">
      <c r="A191" s="1" t="str">
        <f t="shared" si="5"/>
        <v/>
      </c>
      <c r="C191" s="1" t="str">
        <f t="shared" si="4"/>
        <v/>
      </c>
    </row>
    <row r="192" spans="1:3" x14ac:dyDescent="0.25">
      <c r="A192" s="1" t="str">
        <f t="shared" si="5"/>
        <v/>
      </c>
      <c r="C192" s="1" t="str">
        <f t="shared" si="4"/>
        <v/>
      </c>
    </row>
    <row r="193" spans="1:3" x14ac:dyDescent="0.25">
      <c r="A193" s="1" t="str">
        <f t="shared" si="5"/>
        <v/>
      </c>
      <c r="C193" s="1" t="str">
        <f t="shared" si="4"/>
        <v/>
      </c>
    </row>
    <row r="194" spans="1:3" x14ac:dyDescent="0.25">
      <c r="A194" s="1" t="str">
        <f t="shared" si="5"/>
        <v/>
      </c>
      <c r="C194" s="1" t="str">
        <f t="shared" ref="C194:C257" si="6">IF(LEN(IFERROR(VLOOKUP(B194,Reqs_and_Explanation,3,FALSE),""))&lt;3,"",IFERROR(VLOOKUP(B194,Reqs_and_Explanation,3,FALSE),""))</f>
        <v/>
      </c>
    </row>
    <row r="195" spans="1:3" x14ac:dyDescent="0.25">
      <c r="A195" s="1" t="str">
        <f t="shared" ref="A195:A258" si="7">IF(ISBLANK(B195),"","E"&amp;TEXT(ROW()-1,"000"))</f>
        <v/>
      </c>
      <c r="C195" s="1" t="str">
        <f t="shared" si="6"/>
        <v/>
      </c>
    </row>
    <row r="196" spans="1:3" x14ac:dyDescent="0.25">
      <c r="A196" s="1" t="str">
        <f t="shared" si="7"/>
        <v/>
      </c>
      <c r="C196" s="1" t="str">
        <f t="shared" si="6"/>
        <v/>
      </c>
    </row>
    <row r="197" spans="1:3" x14ac:dyDescent="0.25">
      <c r="A197" s="1" t="str">
        <f t="shared" si="7"/>
        <v/>
      </c>
      <c r="C197" s="1" t="str">
        <f t="shared" si="6"/>
        <v/>
      </c>
    </row>
    <row r="198" spans="1:3" x14ac:dyDescent="0.25">
      <c r="A198" s="1" t="str">
        <f t="shared" si="7"/>
        <v/>
      </c>
      <c r="C198" s="1" t="str">
        <f t="shared" si="6"/>
        <v/>
      </c>
    </row>
    <row r="199" spans="1:3" x14ac:dyDescent="0.25">
      <c r="A199" s="1" t="str">
        <f t="shared" si="7"/>
        <v/>
      </c>
      <c r="C199" s="1" t="str">
        <f t="shared" si="6"/>
        <v/>
      </c>
    </row>
    <row r="200" spans="1:3" x14ac:dyDescent="0.25">
      <c r="A200" s="1" t="str">
        <f t="shared" si="7"/>
        <v/>
      </c>
      <c r="C200" s="1" t="str">
        <f t="shared" si="6"/>
        <v/>
      </c>
    </row>
    <row r="201" spans="1:3" x14ac:dyDescent="0.25">
      <c r="A201" s="1" t="str">
        <f t="shared" si="7"/>
        <v/>
      </c>
      <c r="C201" s="1" t="str">
        <f t="shared" si="6"/>
        <v/>
      </c>
    </row>
    <row r="202" spans="1:3" x14ac:dyDescent="0.25">
      <c r="A202" s="1" t="str">
        <f t="shared" si="7"/>
        <v/>
      </c>
      <c r="C202" s="1" t="str">
        <f t="shared" si="6"/>
        <v/>
      </c>
    </row>
    <row r="203" spans="1:3" x14ac:dyDescent="0.25">
      <c r="A203" s="1" t="str">
        <f t="shared" si="7"/>
        <v/>
      </c>
      <c r="C203" s="1" t="str">
        <f t="shared" si="6"/>
        <v/>
      </c>
    </row>
    <row r="204" spans="1:3" x14ac:dyDescent="0.25">
      <c r="A204" s="1" t="str">
        <f t="shared" si="7"/>
        <v/>
      </c>
      <c r="C204" s="1" t="str">
        <f t="shared" si="6"/>
        <v/>
      </c>
    </row>
    <row r="205" spans="1:3" x14ac:dyDescent="0.25">
      <c r="A205" s="1" t="str">
        <f t="shared" si="7"/>
        <v/>
      </c>
      <c r="C205" s="1" t="str">
        <f t="shared" si="6"/>
        <v/>
      </c>
    </row>
    <row r="206" spans="1:3" x14ac:dyDescent="0.25">
      <c r="A206" s="1" t="str">
        <f t="shared" si="7"/>
        <v/>
      </c>
      <c r="C206" s="1" t="str">
        <f t="shared" si="6"/>
        <v/>
      </c>
    </row>
    <row r="207" spans="1:3" x14ac:dyDescent="0.25">
      <c r="A207" s="1" t="str">
        <f t="shared" si="7"/>
        <v/>
      </c>
      <c r="C207" s="1" t="str">
        <f t="shared" si="6"/>
        <v/>
      </c>
    </row>
    <row r="208" spans="1:3" x14ac:dyDescent="0.25">
      <c r="A208" s="1" t="str">
        <f t="shared" si="7"/>
        <v/>
      </c>
      <c r="C208" s="1" t="str">
        <f t="shared" si="6"/>
        <v/>
      </c>
    </row>
    <row r="209" spans="1:3" x14ac:dyDescent="0.25">
      <c r="A209" s="1" t="str">
        <f t="shared" si="7"/>
        <v/>
      </c>
      <c r="C209" s="1" t="str">
        <f t="shared" si="6"/>
        <v/>
      </c>
    </row>
    <row r="210" spans="1:3" x14ac:dyDescent="0.25">
      <c r="A210" s="1" t="str">
        <f t="shared" si="7"/>
        <v/>
      </c>
      <c r="C210" s="1" t="str">
        <f t="shared" si="6"/>
        <v/>
      </c>
    </row>
    <row r="211" spans="1:3" x14ac:dyDescent="0.25">
      <c r="A211" s="1" t="str">
        <f t="shared" si="7"/>
        <v/>
      </c>
      <c r="C211" s="1" t="str">
        <f t="shared" si="6"/>
        <v/>
      </c>
    </row>
    <row r="212" spans="1:3" x14ac:dyDescent="0.25">
      <c r="A212" s="1" t="str">
        <f t="shared" si="7"/>
        <v/>
      </c>
      <c r="C212" s="1" t="str">
        <f t="shared" si="6"/>
        <v/>
      </c>
    </row>
    <row r="213" spans="1:3" x14ac:dyDescent="0.25">
      <c r="A213" s="1" t="str">
        <f t="shared" si="7"/>
        <v/>
      </c>
      <c r="C213" s="1" t="str">
        <f t="shared" si="6"/>
        <v/>
      </c>
    </row>
    <row r="214" spans="1:3" x14ac:dyDescent="0.25">
      <c r="A214" s="1" t="str">
        <f t="shared" si="7"/>
        <v/>
      </c>
      <c r="C214" s="1" t="str">
        <f t="shared" si="6"/>
        <v/>
      </c>
    </row>
    <row r="215" spans="1:3" x14ac:dyDescent="0.25">
      <c r="A215" s="1" t="str">
        <f t="shared" si="7"/>
        <v/>
      </c>
      <c r="C215" s="1" t="str">
        <f t="shared" si="6"/>
        <v/>
      </c>
    </row>
    <row r="216" spans="1:3" x14ac:dyDescent="0.25">
      <c r="A216" s="1" t="str">
        <f t="shared" si="7"/>
        <v/>
      </c>
      <c r="C216" s="1" t="str">
        <f t="shared" si="6"/>
        <v/>
      </c>
    </row>
    <row r="217" spans="1:3" x14ac:dyDescent="0.25">
      <c r="A217" s="1" t="str">
        <f t="shared" si="7"/>
        <v/>
      </c>
      <c r="C217" s="1" t="str">
        <f t="shared" si="6"/>
        <v/>
      </c>
    </row>
    <row r="218" spans="1:3" x14ac:dyDescent="0.25">
      <c r="A218" s="1" t="str">
        <f t="shared" si="7"/>
        <v/>
      </c>
      <c r="C218" s="1" t="str">
        <f t="shared" si="6"/>
        <v/>
      </c>
    </row>
    <row r="219" spans="1:3" x14ac:dyDescent="0.25">
      <c r="A219" s="1" t="str">
        <f t="shared" si="7"/>
        <v/>
      </c>
      <c r="C219" s="1" t="str">
        <f t="shared" si="6"/>
        <v/>
      </c>
    </row>
    <row r="220" spans="1:3" x14ac:dyDescent="0.25">
      <c r="A220" s="1" t="str">
        <f t="shared" si="7"/>
        <v/>
      </c>
      <c r="C220" s="1" t="str">
        <f t="shared" si="6"/>
        <v/>
      </c>
    </row>
    <row r="221" spans="1:3" x14ac:dyDescent="0.25">
      <c r="A221" s="1" t="str">
        <f t="shared" si="7"/>
        <v/>
      </c>
      <c r="C221" s="1" t="str">
        <f t="shared" si="6"/>
        <v/>
      </c>
    </row>
    <row r="222" spans="1:3" x14ac:dyDescent="0.25">
      <c r="A222" s="1" t="str">
        <f t="shared" si="7"/>
        <v/>
      </c>
      <c r="C222" s="1" t="str">
        <f t="shared" si="6"/>
        <v/>
      </c>
    </row>
    <row r="223" spans="1:3" x14ac:dyDescent="0.25">
      <c r="A223" s="1" t="str">
        <f t="shared" si="7"/>
        <v/>
      </c>
      <c r="C223" s="1" t="str">
        <f t="shared" si="6"/>
        <v/>
      </c>
    </row>
    <row r="224" spans="1:3" x14ac:dyDescent="0.25">
      <c r="A224" s="1" t="str">
        <f t="shared" si="7"/>
        <v/>
      </c>
      <c r="C224" s="1" t="str">
        <f t="shared" si="6"/>
        <v/>
      </c>
    </row>
    <row r="225" spans="1:3" x14ac:dyDescent="0.25">
      <c r="A225" s="1" t="str">
        <f t="shared" si="7"/>
        <v/>
      </c>
      <c r="C225" s="1" t="str">
        <f t="shared" si="6"/>
        <v/>
      </c>
    </row>
    <row r="226" spans="1:3" x14ac:dyDescent="0.25">
      <c r="A226" s="1" t="str">
        <f t="shared" si="7"/>
        <v/>
      </c>
      <c r="C226" s="1" t="str">
        <f t="shared" si="6"/>
        <v/>
      </c>
    </row>
    <row r="227" spans="1:3" x14ac:dyDescent="0.25">
      <c r="A227" s="1" t="str">
        <f t="shared" si="7"/>
        <v/>
      </c>
      <c r="C227" s="1" t="str">
        <f t="shared" si="6"/>
        <v/>
      </c>
    </row>
    <row r="228" spans="1:3" x14ac:dyDescent="0.25">
      <c r="A228" s="1" t="str">
        <f t="shared" si="7"/>
        <v/>
      </c>
      <c r="C228" s="1" t="str">
        <f t="shared" si="6"/>
        <v/>
      </c>
    </row>
    <row r="229" spans="1:3" x14ac:dyDescent="0.25">
      <c r="A229" s="1" t="str">
        <f t="shared" si="7"/>
        <v/>
      </c>
      <c r="C229" s="1" t="str">
        <f t="shared" si="6"/>
        <v/>
      </c>
    </row>
    <row r="230" spans="1:3" x14ac:dyDescent="0.25">
      <c r="A230" s="1" t="str">
        <f t="shared" si="7"/>
        <v/>
      </c>
      <c r="C230" s="1" t="str">
        <f t="shared" si="6"/>
        <v/>
      </c>
    </row>
    <row r="231" spans="1:3" x14ac:dyDescent="0.25">
      <c r="A231" s="1" t="str">
        <f t="shared" si="7"/>
        <v/>
      </c>
      <c r="C231" s="1" t="str">
        <f t="shared" si="6"/>
        <v/>
      </c>
    </row>
    <row r="232" spans="1:3" x14ac:dyDescent="0.25">
      <c r="A232" s="1" t="str">
        <f t="shared" si="7"/>
        <v/>
      </c>
      <c r="C232" s="1" t="str">
        <f t="shared" si="6"/>
        <v/>
      </c>
    </row>
    <row r="233" spans="1:3" x14ac:dyDescent="0.25">
      <c r="A233" s="1" t="str">
        <f t="shared" si="7"/>
        <v/>
      </c>
      <c r="C233" s="1" t="str">
        <f t="shared" si="6"/>
        <v/>
      </c>
    </row>
    <row r="234" spans="1:3" x14ac:dyDescent="0.25">
      <c r="A234" s="1" t="str">
        <f t="shared" si="7"/>
        <v/>
      </c>
      <c r="C234" s="1" t="str">
        <f t="shared" si="6"/>
        <v/>
      </c>
    </row>
    <row r="235" spans="1:3" x14ac:dyDescent="0.25">
      <c r="A235" s="1" t="str">
        <f t="shared" si="7"/>
        <v/>
      </c>
      <c r="C235" s="1" t="str">
        <f t="shared" si="6"/>
        <v/>
      </c>
    </row>
    <row r="236" spans="1:3" x14ac:dyDescent="0.25">
      <c r="A236" s="1" t="str">
        <f t="shared" si="7"/>
        <v/>
      </c>
      <c r="C236" s="1" t="str">
        <f t="shared" si="6"/>
        <v/>
      </c>
    </row>
    <row r="237" spans="1:3" x14ac:dyDescent="0.25">
      <c r="A237" s="1" t="str">
        <f t="shared" si="7"/>
        <v/>
      </c>
      <c r="C237" s="1" t="str">
        <f t="shared" si="6"/>
        <v/>
      </c>
    </row>
    <row r="238" spans="1:3" x14ac:dyDescent="0.25">
      <c r="A238" s="1" t="str">
        <f t="shared" si="7"/>
        <v/>
      </c>
      <c r="C238" s="1" t="str">
        <f t="shared" si="6"/>
        <v/>
      </c>
    </row>
    <row r="239" spans="1:3" x14ac:dyDescent="0.25">
      <c r="A239" s="1" t="str">
        <f t="shared" si="7"/>
        <v/>
      </c>
      <c r="C239" s="1" t="str">
        <f t="shared" si="6"/>
        <v/>
      </c>
    </row>
    <row r="240" spans="1:3" x14ac:dyDescent="0.25">
      <c r="A240" s="1" t="str">
        <f t="shared" si="7"/>
        <v/>
      </c>
      <c r="C240" s="1" t="str">
        <f t="shared" si="6"/>
        <v/>
      </c>
    </row>
    <row r="241" spans="1:3" x14ac:dyDescent="0.25">
      <c r="A241" s="1" t="str">
        <f t="shared" si="7"/>
        <v/>
      </c>
      <c r="C241" s="1" t="str">
        <f t="shared" si="6"/>
        <v/>
      </c>
    </row>
    <row r="242" spans="1:3" x14ac:dyDescent="0.25">
      <c r="A242" s="1" t="str">
        <f t="shared" si="7"/>
        <v/>
      </c>
      <c r="C242" s="1" t="str">
        <f t="shared" si="6"/>
        <v/>
      </c>
    </row>
    <row r="243" spans="1:3" x14ac:dyDescent="0.25">
      <c r="A243" s="1" t="str">
        <f t="shared" si="7"/>
        <v/>
      </c>
      <c r="C243" s="1" t="str">
        <f t="shared" si="6"/>
        <v/>
      </c>
    </row>
    <row r="244" spans="1:3" x14ac:dyDescent="0.25">
      <c r="A244" s="1" t="str">
        <f t="shared" si="7"/>
        <v/>
      </c>
      <c r="C244" s="1" t="str">
        <f t="shared" si="6"/>
        <v/>
      </c>
    </row>
    <row r="245" spans="1:3" x14ac:dyDescent="0.25">
      <c r="A245" s="1" t="str">
        <f t="shared" si="7"/>
        <v/>
      </c>
      <c r="C245" s="1" t="str">
        <f t="shared" si="6"/>
        <v/>
      </c>
    </row>
    <row r="246" spans="1:3" x14ac:dyDescent="0.25">
      <c r="A246" s="1" t="str">
        <f t="shared" si="7"/>
        <v/>
      </c>
      <c r="C246" s="1" t="str">
        <f t="shared" si="6"/>
        <v/>
      </c>
    </row>
    <row r="247" spans="1:3" x14ac:dyDescent="0.25">
      <c r="A247" s="1" t="str">
        <f t="shared" si="7"/>
        <v/>
      </c>
      <c r="C247" s="1" t="str">
        <f t="shared" si="6"/>
        <v/>
      </c>
    </row>
    <row r="248" spans="1:3" x14ac:dyDescent="0.25">
      <c r="A248" s="1" t="str">
        <f t="shared" si="7"/>
        <v/>
      </c>
      <c r="C248" s="1" t="str">
        <f t="shared" si="6"/>
        <v/>
      </c>
    </row>
    <row r="249" spans="1:3" x14ac:dyDescent="0.25">
      <c r="A249" s="1" t="str">
        <f t="shared" si="7"/>
        <v/>
      </c>
      <c r="C249" s="1" t="str">
        <f t="shared" si="6"/>
        <v/>
      </c>
    </row>
    <row r="250" spans="1:3" x14ac:dyDescent="0.25">
      <c r="A250" s="1" t="str">
        <f t="shared" si="7"/>
        <v/>
      </c>
      <c r="C250" s="1" t="str">
        <f t="shared" si="6"/>
        <v/>
      </c>
    </row>
    <row r="251" spans="1:3" x14ac:dyDescent="0.25">
      <c r="A251" s="1" t="str">
        <f t="shared" si="7"/>
        <v/>
      </c>
      <c r="C251" s="1" t="str">
        <f t="shared" si="6"/>
        <v/>
      </c>
    </row>
    <row r="252" spans="1:3" x14ac:dyDescent="0.25">
      <c r="A252" s="1" t="str">
        <f t="shared" si="7"/>
        <v/>
      </c>
      <c r="C252" s="1" t="str">
        <f t="shared" si="6"/>
        <v/>
      </c>
    </row>
    <row r="253" spans="1:3" x14ac:dyDescent="0.25">
      <c r="A253" s="1" t="str">
        <f t="shared" si="7"/>
        <v/>
      </c>
      <c r="C253" s="1" t="str">
        <f t="shared" si="6"/>
        <v/>
      </c>
    </row>
    <row r="254" spans="1:3" x14ac:dyDescent="0.25">
      <c r="A254" s="1" t="str">
        <f t="shared" si="7"/>
        <v/>
      </c>
      <c r="C254" s="1" t="str">
        <f t="shared" si="6"/>
        <v/>
      </c>
    </row>
    <row r="255" spans="1:3" x14ac:dyDescent="0.25">
      <c r="A255" s="1" t="str">
        <f t="shared" si="7"/>
        <v/>
      </c>
      <c r="C255" s="1" t="str">
        <f t="shared" si="6"/>
        <v/>
      </c>
    </row>
    <row r="256" spans="1:3" x14ac:dyDescent="0.25">
      <c r="A256" s="1" t="str">
        <f t="shared" si="7"/>
        <v/>
      </c>
      <c r="C256" s="1" t="str">
        <f t="shared" si="6"/>
        <v/>
      </c>
    </row>
    <row r="257" spans="1:3" x14ac:dyDescent="0.25">
      <c r="A257" s="1" t="str">
        <f t="shared" si="7"/>
        <v/>
      </c>
      <c r="C257" s="1" t="str">
        <f t="shared" si="6"/>
        <v/>
      </c>
    </row>
    <row r="258" spans="1:3" x14ac:dyDescent="0.25">
      <c r="A258" s="1" t="str">
        <f t="shared" si="7"/>
        <v/>
      </c>
      <c r="C258" s="1" t="str">
        <f t="shared" ref="C258:C281" si="8">IF(LEN(IFERROR(VLOOKUP(B258,Reqs_and_Explanation,3,FALSE),""))&lt;3,"",IFERROR(VLOOKUP(B258,Reqs_and_Explanation,3,FALSE),""))</f>
        <v/>
      </c>
    </row>
    <row r="259" spans="1:3" x14ac:dyDescent="0.25">
      <c r="A259" s="1" t="str">
        <f t="shared" ref="A259:A322" si="9">IF(ISBLANK(B259),"","E"&amp;TEXT(ROW()-1,"000"))</f>
        <v/>
      </c>
      <c r="C259" s="1" t="str">
        <f t="shared" si="8"/>
        <v/>
      </c>
    </row>
    <row r="260" spans="1:3" x14ac:dyDescent="0.25">
      <c r="A260" s="1" t="str">
        <f t="shared" si="9"/>
        <v/>
      </c>
      <c r="C260" s="1" t="str">
        <f t="shared" si="8"/>
        <v/>
      </c>
    </row>
    <row r="261" spans="1:3" x14ac:dyDescent="0.25">
      <c r="A261" s="1" t="str">
        <f t="shared" si="9"/>
        <v/>
      </c>
      <c r="C261" s="1" t="str">
        <f t="shared" si="8"/>
        <v/>
      </c>
    </row>
    <row r="262" spans="1:3" x14ac:dyDescent="0.25">
      <c r="A262" s="1" t="str">
        <f t="shared" si="9"/>
        <v/>
      </c>
      <c r="C262" s="1" t="str">
        <f t="shared" si="8"/>
        <v/>
      </c>
    </row>
    <row r="263" spans="1:3" x14ac:dyDescent="0.25">
      <c r="A263" s="1" t="str">
        <f t="shared" si="9"/>
        <v/>
      </c>
      <c r="C263" s="1" t="str">
        <f t="shared" si="8"/>
        <v/>
      </c>
    </row>
    <row r="264" spans="1:3" x14ac:dyDescent="0.25">
      <c r="A264" s="1" t="str">
        <f t="shared" si="9"/>
        <v/>
      </c>
      <c r="C264" s="1" t="str">
        <f t="shared" si="8"/>
        <v/>
      </c>
    </row>
    <row r="265" spans="1:3" x14ac:dyDescent="0.25">
      <c r="A265" s="1" t="str">
        <f t="shared" si="9"/>
        <v/>
      </c>
      <c r="C265" s="1" t="str">
        <f t="shared" si="8"/>
        <v/>
      </c>
    </row>
    <row r="266" spans="1:3" x14ac:dyDescent="0.25">
      <c r="A266" s="1" t="str">
        <f t="shared" si="9"/>
        <v/>
      </c>
      <c r="C266" s="1" t="str">
        <f t="shared" si="8"/>
        <v/>
      </c>
    </row>
    <row r="267" spans="1:3" x14ac:dyDescent="0.25">
      <c r="A267" s="1" t="str">
        <f t="shared" si="9"/>
        <v/>
      </c>
      <c r="C267" s="1" t="str">
        <f t="shared" si="8"/>
        <v/>
      </c>
    </row>
    <row r="268" spans="1:3" x14ac:dyDescent="0.25">
      <c r="A268" s="1" t="str">
        <f t="shared" si="9"/>
        <v/>
      </c>
      <c r="C268" s="1" t="str">
        <f t="shared" si="8"/>
        <v/>
      </c>
    </row>
    <row r="269" spans="1:3" x14ac:dyDescent="0.25">
      <c r="A269" s="1" t="str">
        <f t="shared" si="9"/>
        <v/>
      </c>
      <c r="C269" s="1" t="str">
        <f t="shared" si="8"/>
        <v/>
      </c>
    </row>
    <row r="270" spans="1:3" x14ac:dyDescent="0.25">
      <c r="A270" s="1" t="str">
        <f t="shared" si="9"/>
        <v/>
      </c>
      <c r="C270" s="1" t="str">
        <f t="shared" si="8"/>
        <v/>
      </c>
    </row>
    <row r="271" spans="1:3" x14ac:dyDescent="0.25">
      <c r="A271" s="1" t="str">
        <f t="shared" si="9"/>
        <v/>
      </c>
      <c r="C271" s="1" t="str">
        <f t="shared" si="8"/>
        <v/>
      </c>
    </row>
    <row r="272" spans="1:3" x14ac:dyDescent="0.25">
      <c r="A272" s="1" t="str">
        <f t="shared" si="9"/>
        <v/>
      </c>
      <c r="C272" s="1" t="str">
        <f t="shared" si="8"/>
        <v/>
      </c>
    </row>
    <row r="273" spans="1:3" x14ac:dyDescent="0.25">
      <c r="A273" s="1" t="str">
        <f t="shared" si="9"/>
        <v/>
      </c>
      <c r="C273" s="1" t="str">
        <f t="shared" si="8"/>
        <v/>
      </c>
    </row>
    <row r="274" spans="1:3" x14ac:dyDescent="0.25">
      <c r="A274" s="1" t="str">
        <f t="shared" si="9"/>
        <v/>
      </c>
      <c r="C274" s="1" t="str">
        <f t="shared" si="8"/>
        <v/>
      </c>
    </row>
    <row r="275" spans="1:3" x14ac:dyDescent="0.25">
      <c r="A275" s="1" t="str">
        <f t="shared" si="9"/>
        <v/>
      </c>
      <c r="C275" s="1" t="str">
        <f t="shared" si="8"/>
        <v/>
      </c>
    </row>
    <row r="276" spans="1:3" x14ac:dyDescent="0.25">
      <c r="A276" s="1" t="str">
        <f t="shared" si="9"/>
        <v/>
      </c>
      <c r="C276" s="1" t="str">
        <f t="shared" si="8"/>
        <v/>
      </c>
    </row>
    <row r="277" spans="1:3" x14ac:dyDescent="0.25">
      <c r="A277" s="1" t="str">
        <f t="shared" si="9"/>
        <v/>
      </c>
      <c r="C277" s="1" t="str">
        <f t="shared" si="8"/>
        <v/>
      </c>
    </row>
    <row r="278" spans="1:3" x14ac:dyDescent="0.25">
      <c r="A278" s="1" t="str">
        <f t="shared" si="9"/>
        <v/>
      </c>
      <c r="C278" s="1" t="str">
        <f t="shared" si="8"/>
        <v/>
      </c>
    </row>
    <row r="279" spans="1:3" x14ac:dyDescent="0.25">
      <c r="A279" s="1" t="str">
        <f t="shared" si="9"/>
        <v/>
      </c>
      <c r="C279" s="1" t="str">
        <f t="shared" si="8"/>
        <v/>
      </c>
    </row>
    <row r="280" spans="1:3" x14ac:dyDescent="0.25">
      <c r="A280" s="1" t="str">
        <f t="shared" si="9"/>
        <v/>
      </c>
      <c r="C280" s="1" t="str">
        <f t="shared" si="8"/>
        <v/>
      </c>
    </row>
    <row r="281" spans="1:3" x14ac:dyDescent="0.25">
      <c r="A281" s="1" t="str">
        <f t="shared" si="9"/>
        <v/>
      </c>
      <c r="C281" s="1" t="str">
        <f t="shared" si="8"/>
        <v/>
      </c>
    </row>
    <row r="282" spans="1:3" x14ac:dyDescent="0.25">
      <c r="A282" s="1" t="str">
        <f t="shared" si="9"/>
        <v/>
      </c>
    </row>
    <row r="283" spans="1:3" x14ac:dyDescent="0.25">
      <c r="A283" s="1" t="str">
        <f t="shared" si="9"/>
        <v/>
      </c>
    </row>
    <row r="284" spans="1:3" x14ac:dyDescent="0.25">
      <c r="A284" s="1" t="str">
        <f t="shared" si="9"/>
        <v/>
      </c>
    </row>
    <row r="285" spans="1:3" x14ac:dyDescent="0.25">
      <c r="A285" s="1" t="str">
        <f t="shared" si="9"/>
        <v/>
      </c>
    </row>
    <row r="286" spans="1:3" x14ac:dyDescent="0.25">
      <c r="A286" s="1" t="str">
        <f t="shared" si="9"/>
        <v/>
      </c>
    </row>
    <row r="287" spans="1:3" x14ac:dyDescent="0.25">
      <c r="A287" s="1" t="str">
        <f t="shared" si="9"/>
        <v/>
      </c>
    </row>
    <row r="288" spans="1:3" x14ac:dyDescent="0.25">
      <c r="A288" s="1" t="str">
        <f t="shared" si="9"/>
        <v/>
      </c>
    </row>
    <row r="289" spans="1:1" x14ac:dyDescent="0.25">
      <c r="A289" s="1" t="str">
        <f t="shared" si="9"/>
        <v/>
      </c>
    </row>
    <row r="290" spans="1:1" x14ac:dyDescent="0.25">
      <c r="A290" s="1" t="str">
        <f t="shared" si="9"/>
        <v/>
      </c>
    </row>
    <row r="291" spans="1:1" x14ac:dyDescent="0.25">
      <c r="A291" s="1" t="str">
        <f t="shared" si="9"/>
        <v/>
      </c>
    </row>
    <row r="292" spans="1:1" x14ac:dyDescent="0.25">
      <c r="A292" s="1" t="str">
        <f t="shared" si="9"/>
        <v/>
      </c>
    </row>
    <row r="293" spans="1:1" x14ac:dyDescent="0.25">
      <c r="A293" s="1" t="str">
        <f t="shared" si="9"/>
        <v/>
      </c>
    </row>
    <row r="294" spans="1:1" x14ac:dyDescent="0.25">
      <c r="A294" s="1" t="str">
        <f t="shared" si="9"/>
        <v/>
      </c>
    </row>
    <row r="295" spans="1:1" x14ac:dyDescent="0.25">
      <c r="A295" s="1" t="str">
        <f t="shared" si="9"/>
        <v/>
      </c>
    </row>
    <row r="296" spans="1:1" x14ac:dyDescent="0.25">
      <c r="A296" s="1" t="str">
        <f t="shared" si="9"/>
        <v/>
      </c>
    </row>
    <row r="297" spans="1:1" x14ac:dyDescent="0.25">
      <c r="A297" s="1" t="str">
        <f t="shared" si="9"/>
        <v/>
      </c>
    </row>
    <row r="298" spans="1:1" x14ac:dyDescent="0.25">
      <c r="A298" s="1" t="str">
        <f t="shared" si="9"/>
        <v/>
      </c>
    </row>
    <row r="299" spans="1:1" x14ac:dyDescent="0.25">
      <c r="A299" s="1" t="str">
        <f t="shared" si="9"/>
        <v/>
      </c>
    </row>
    <row r="300" spans="1:1" x14ac:dyDescent="0.25">
      <c r="A300" s="1" t="str">
        <f t="shared" si="9"/>
        <v/>
      </c>
    </row>
    <row r="301" spans="1:1" x14ac:dyDescent="0.25">
      <c r="A301" s="1" t="str">
        <f t="shared" si="9"/>
        <v/>
      </c>
    </row>
    <row r="302" spans="1:1" x14ac:dyDescent="0.25">
      <c r="A302" s="1" t="str">
        <f t="shared" si="9"/>
        <v/>
      </c>
    </row>
    <row r="303" spans="1:1" x14ac:dyDescent="0.25">
      <c r="A303" s="1" t="str">
        <f t="shared" si="9"/>
        <v/>
      </c>
    </row>
    <row r="304" spans="1:1" x14ac:dyDescent="0.25">
      <c r="A304" s="1" t="str">
        <f t="shared" si="9"/>
        <v/>
      </c>
    </row>
    <row r="305" spans="1:1" x14ac:dyDescent="0.25">
      <c r="A305" s="1" t="str">
        <f t="shared" si="9"/>
        <v/>
      </c>
    </row>
    <row r="306" spans="1:1" x14ac:dyDescent="0.25">
      <c r="A306" s="1" t="str">
        <f t="shared" si="9"/>
        <v/>
      </c>
    </row>
    <row r="307" spans="1:1" x14ac:dyDescent="0.25">
      <c r="A307" s="1" t="str">
        <f t="shared" si="9"/>
        <v/>
      </c>
    </row>
    <row r="308" spans="1:1" x14ac:dyDescent="0.25">
      <c r="A308" s="1" t="str">
        <f t="shared" si="9"/>
        <v/>
      </c>
    </row>
    <row r="309" spans="1:1" x14ac:dyDescent="0.25">
      <c r="A309" s="1" t="str">
        <f t="shared" si="9"/>
        <v/>
      </c>
    </row>
    <row r="310" spans="1:1" x14ac:dyDescent="0.25">
      <c r="A310" s="1" t="str">
        <f t="shared" si="9"/>
        <v/>
      </c>
    </row>
    <row r="311" spans="1:1" x14ac:dyDescent="0.25">
      <c r="A311" s="1" t="str">
        <f t="shared" si="9"/>
        <v/>
      </c>
    </row>
    <row r="312" spans="1:1" x14ac:dyDescent="0.25">
      <c r="A312" s="1" t="str">
        <f t="shared" si="9"/>
        <v/>
      </c>
    </row>
    <row r="313" spans="1:1" x14ac:dyDescent="0.25">
      <c r="A313" s="1" t="str">
        <f t="shared" si="9"/>
        <v/>
      </c>
    </row>
    <row r="314" spans="1:1" x14ac:dyDescent="0.25">
      <c r="A314" s="1" t="str">
        <f t="shared" si="9"/>
        <v/>
      </c>
    </row>
    <row r="315" spans="1:1" x14ac:dyDescent="0.25">
      <c r="A315" s="1" t="str">
        <f t="shared" si="9"/>
        <v/>
      </c>
    </row>
    <row r="316" spans="1:1" x14ac:dyDescent="0.25">
      <c r="A316" s="1" t="str">
        <f t="shared" si="9"/>
        <v/>
      </c>
    </row>
    <row r="317" spans="1:1" x14ac:dyDescent="0.25">
      <c r="A317" s="1" t="str">
        <f t="shared" si="9"/>
        <v/>
      </c>
    </row>
    <row r="318" spans="1:1" x14ac:dyDescent="0.25">
      <c r="A318" s="1" t="str">
        <f t="shared" si="9"/>
        <v/>
      </c>
    </row>
    <row r="319" spans="1:1" x14ac:dyDescent="0.25">
      <c r="A319" s="1" t="str">
        <f t="shared" si="9"/>
        <v/>
      </c>
    </row>
    <row r="320" spans="1:1" x14ac:dyDescent="0.25">
      <c r="A320" s="1" t="str">
        <f t="shared" si="9"/>
        <v/>
      </c>
    </row>
    <row r="321" spans="1:1" x14ac:dyDescent="0.25">
      <c r="A321" s="1" t="str">
        <f t="shared" si="9"/>
        <v/>
      </c>
    </row>
    <row r="322" spans="1:1" x14ac:dyDescent="0.25">
      <c r="A322" s="1" t="str">
        <f t="shared" si="9"/>
        <v/>
      </c>
    </row>
    <row r="323" spans="1:1" x14ac:dyDescent="0.25">
      <c r="A323" s="1" t="str">
        <f t="shared" ref="A323:A338" si="10">IF(ISBLANK(B323),"","E"&amp;TEXT(ROW()-1,"000"))</f>
        <v/>
      </c>
    </row>
    <row r="324" spans="1:1" x14ac:dyDescent="0.25">
      <c r="A324" s="1" t="str">
        <f t="shared" si="10"/>
        <v/>
      </c>
    </row>
    <row r="325" spans="1:1" x14ac:dyDescent="0.25">
      <c r="A325" s="1" t="str">
        <f t="shared" si="10"/>
        <v/>
      </c>
    </row>
    <row r="326" spans="1:1" x14ac:dyDescent="0.25">
      <c r="A326" s="1" t="str">
        <f t="shared" si="10"/>
        <v/>
      </c>
    </row>
    <row r="327" spans="1:1" x14ac:dyDescent="0.25">
      <c r="A327" s="1" t="str">
        <f t="shared" si="10"/>
        <v/>
      </c>
    </row>
    <row r="328" spans="1:1" x14ac:dyDescent="0.25">
      <c r="A328" s="1" t="str">
        <f t="shared" si="10"/>
        <v/>
      </c>
    </row>
    <row r="329" spans="1:1" x14ac:dyDescent="0.25">
      <c r="A329" s="1" t="str">
        <f t="shared" si="10"/>
        <v/>
      </c>
    </row>
    <row r="330" spans="1:1" x14ac:dyDescent="0.25">
      <c r="A330" s="1" t="str">
        <f t="shared" si="10"/>
        <v/>
      </c>
    </row>
    <row r="331" spans="1:1" x14ac:dyDescent="0.25">
      <c r="A331" s="1" t="str">
        <f t="shared" si="10"/>
        <v/>
      </c>
    </row>
    <row r="332" spans="1:1" x14ac:dyDescent="0.25">
      <c r="A332" s="1" t="str">
        <f t="shared" si="10"/>
        <v/>
      </c>
    </row>
    <row r="333" spans="1:1" x14ac:dyDescent="0.25">
      <c r="A333" s="1" t="str">
        <f t="shared" si="10"/>
        <v/>
      </c>
    </row>
    <row r="334" spans="1:1" x14ac:dyDescent="0.25">
      <c r="A334" s="1" t="str">
        <f t="shared" si="10"/>
        <v/>
      </c>
    </row>
    <row r="335" spans="1:1" x14ac:dyDescent="0.25">
      <c r="A335" s="1" t="str">
        <f t="shared" si="10"/>
        <v/>
      </c>
    </row>
    <row r="336" spans="1:1" x14ac:dyDescent="0.25">
      <c r="A336" s="1" t="str">
        <f t="shared" si="10"/>
        <v/>
      </c>
    </row>
    <row r="337" spans="1:1" x14ac:dyDescent="0.25">
      <c r="A337" s="1" t="str">
        <f t="shared" si="10"/>
        <v/>
      </c>
    </row>
    <row r="338" spans="1:1" x14ac:dyDescent="0.25">
      <c r="A338" s="1" t="str">
        <f t="shared" si="10"/>
        <v/>
      </c>
    </row>
  </sheetData>
  <dataValidations count="4">
    <dataValidation type="list" allowBlank="1" showInputMessage="1" showErrorMessage="1" sqref="B2:B200" xr:uid="{00000000-0002-0000-0300-000000000000}">
      <formula1>Req_IDs</formula1>
    </dataValidation>
    <dataValidation type="list" allowBlank="1" showInputMessage="1" showErrorMessage="1" sqref="D2:D200" xr:uid="{00000000-0002-0000-0300-000001000000}">
      <formula1>Domains</formula1>
    </dataValidation>
    <dataValidation type="list" allowBlank="1" showInputMessage="1" showErrorMessage="1" sqref="E2:E200" xr:uid="{00000000-0002-0000-0300-000002000000}">
      <formula1>CompTypes</formula1>
    </dataValidation>
    <dataValidation type="list" allowBlank="1" showInputMessage="1" showErrorMessage="1" sqref="F2:F200" xr:uid="{00000000-0002-0000-0300-000003000000}">
      <formula1>Dimensions</formula1>
    </dataValidation>
  </dataValidations>
  <pageMargins left="0.7" right="0.7" top="0.78740157499999996" bottom="0.78740157499999996"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8"/>
  <dimension ref="A1:H14"/>
  <sheetViews>
    <sheetView zoomScale="160" zoomScaleNormal="160" workbookViewId="0">
      <selection activeCell="A13" sqref="A13"/>
    </sheetView>
  </sheetViews>
  <sheetFormatPr baseColWidth="10" defaultColWidth="11.5703125" defaultRowHeight="15" x14ac:dyDescent="0.25"/>
  <cols>
    <col min="1" max="1" width="30.7109375" style="1" customWidth="1"/>
    <col min="2" max="2" width="12.85546875" style="10" customWidth="1"/>
    <col min="3" max="3" width="10.28515625" style="10" customWidth="1"/>
    <col min="4" max="7" width="18.140625" style="10" customWidth="1"/>
    <col min="8" max="16384" width="11.5703125" style="1"/>
  </cols>
  <sheetData>
    <row r="1" spans="1:8" x14ac:dyDescent="0.25">
      <c r="A1" s="43"/>
      <c r="B1" s="44"/>
      <c r="C1" s="44"/>
      <c r="D1" s="45" t="s">
        <v>199</v>
      </c>
      <c r="E1" s="45" t="s">
        <v>200</v>
      </c>
      <c r="F1" s="45" t="s">
        <v>201</v>
      </c>
      <c r="G1" s="45" t="s">
        <v>202</v>
      </c>
    </row>
    <row r="2" spans="1:8" x14ac:dyDescent="0.25">
      <c r="A2" s="46" t="s">
        <v>9</v>
      </c>
      <c r="B2" s="47" t="s">
        <v>197</v>
      </c>
      <c r="C2" s="47" t="s">
        <v>215</v>
      </c>
      <c r="D2" s="47" t="str">
        <f t="array" ref="D2:G2">TRANSPOSE(_Domains!A2:A5)</f>
        <v>Registration</v>
      </c>
      <c r="E2" s="47" t="str">
        <v>Zone Alert System</v>
      </c>
      <c r="F2" s="47" t="str">
        <v>Broadcast System</v>
      </c>
      <c r="G2" s="47" t="str">
        <v>Alert Button</v>
      </c>
      <c r="H2" s="30"/>
    </row>
    <row r="3" spans="1:8" x14ac:dyDescent="0.25">
      <c r="A3" s="1" t="str">
        <f>Stakeholders!A3</f>
        <v>Person Suffering From Dementia</v>
      </c>
      <c r="B3" s="10">
        <f>COUNTIF('Goals &amp; Risks'!$E$2:$E$200,A3)</f>
        <v>10</v>
      </c>
      <c r="C3" s="10">
        <f>SUM(D3:G3)</f>
        <v>4</v>
      </c>
      <c r="D3" s="42">
        <v>1</v>
      </c>
      <c r="E3" s="42">
        <v>1</v>
      </c>
      <c r="F3" s="42">
        <v>1</v>
      </c>
      <c r="G3" s="42">
        <v>1</v>
      </c>
    </row>
    <row r="4" spans="1:8" x14ac:dyDescent="0.25">
      <c r="A4" s="1" t="str">
        <f>Stakeholders!A4</f>
        <v>Contact Person</v>
      </c>
      <c r="B4" s="10">
        <f>COUNTIF('Goals &amp; Risks'!$E$2:$E$200,A4)</f>
        <v>10</v>
      </c>
      <c r="C4" s="10">
        <f t="shared" ref="C4:C13" si="0">SUM(D4:G4)</f>
        <v>2</v>
      </c>
      <c r="D4" s="42"/>
      <c r="E4" s="42">
        <v>1</v>
      </c>
      <c r="F4" s="42">
        <v>1</v>
      </c>
      <c r="G4" s="42"/>
    </row>
    <row r="5" spans="1:8" x14ac:dyDescent="0.25">
      <c r="A5" s="1" t="str">
        <f>Stakeholders!A5</f>
        <v>Alert Button User</v>
      </c>
      <c r="B5" s="10">
        <f>COUNTIF('Goals &amp; Risks'!$E$2:$E$200,A5)</f>
        <v>5</v>
      </c>
      <c r="C5" s="10">
        <f t="shared" si="0"/>
        <v>1</v>
      </c>
      <c r="D5" s="42"/>
      <c r="E5" s="42"/>
      <c r="F5" s="42"/>
      <c r="G5" s="42">
        <v>1</v>
      </c>
    </row>
    <row r="6" spans="1:8" x14ac:dyDescent="0.25">
      <c r="A6" s="1" t="str">
        <f>Stakeholders!A6</f>
        <v>Location with Alert Button</v>
      </c>
      <c r="B6" s="10">
        <f>COUNTIF('Goals &amp; Risks'!$E$2:$E$200,A6)</f>
        <v>8</v>
      </c>
      <c r="C6" s="10">
        <f t="shared" si="0"/>
        <v>1</v>
      </c>
      <c r="D6" s="42"/>
      <c r="E6" s="42"/>
      <c r="F6" s="42"/>
      <c r="G6" s="42">
        <v>1</v>
      </c>
    </row>
    <row r="7" spans="1:8" x14ac:dyDescent="0.25">
      <c r="A7" s="1" t="str">
        <f>Stakeholders!A7</f>
        <v>Caregiver</v>
      </c>
      <c r="B7" s="10">
        <f>COUNTIF('Goals &amp; Risks'!$E$2:$E$200,A7)</f>
        <v>2</v>
      </c>
      <c r="C7" s="10">
        <f t="shared" si="0"/>
        <v>1</v>
      </c>
      <c r="D7" s="42">
        <v>1</v>
      </c>
      <c r="E7" s="42"/>
      <c r="F7" s="42"/>
      <c r="G7" s="42"/>
    </row>
    <row r="8" spans="1:8" x14ac:dyDescent="0.25">
      <c r="A8" s="1" t="str">
        <f>Stakeholders!A8</f>
        <v>Nursing  Home Management</v>
      </c>
      <c r="B8" s="10">
        <f>COUNTIF('Goals &amp; Risks'!$E$2:$E$200,A8)</f>
        <v>6</v>
      </c>
      <c r="C8" s="10">
        <f t="shared" si="0"/>
        <v>1</v>
      </c>
      <c r="D8" s="42">
        <v>1</v>
      </c>
      <c r="E8" s="42"/>
      <c r="F8" s="42"/>
      <c r="G8" s="42"/>
    </row>
    <row r="9" spans="1:8" x14ac:dyDescent="0.25">
      <c r="A9" s="1" t="str">
        <f>Stakeholders!A9</f>
        <v>Nursing Home</v>
      </c>
      <c r="B9" s="10">
        <f>COUNTIF('Goals &amp; Risks'!$E$2:$E$200,A9)</f>
        <v>2</v>
      </c>
      <c r="C9" s="10">
        <f t="shared" si="0"/>
        <v>1</v>
      </c>
      <c r="D9" s="42">
        <v>1</v>
      </c>
      <c r="E9" s="42"/>
      <c r="F9" s="42"/>
      <c r="G9" s="42"/>
    </row>
    <row r="10" spans="1:8" x14ac:dyDescent="0.25">
      <c r="A10" s="1" t="str">
        <f>Stakeholders!A10</f>
        <v>Health Insurance</v>
      </c>
      <c r="B10" s="10">
        <f>COUNTIF('Goals &amp; Risks'!$E$2:$E$200,A10)</f>
        <v>6</v>
      </c>
      <c r="C10" s="10">
        <f t="shared" si="0"/>
        <v>1</v>
      </c>
      <c r="D10" s="42">
        <v>1</v>
      </c>
      <c r="E10" s="42"/>
      <c r="F10" s="42"/>
      <c r="G10" s="42"/>
    </row>
    <row r="11" spans="1:8" x14ac:dyDescent="0.25">
      <c r="A11" s="1" t="str">
        <f>Stakeholders!A11</f>
        <v>ILA Startup</v>
      </c>
      <c r="B11" s="10">
        <f>COUNTIF('Goals &amp; Risks'!$E$2:$E$200,A11)</f>
        <v>5</v>
      </c>
      <c r="C11" s="10">
        <f t="shared" si="0"/>
        <v>1</v>
      </c>
      <c r="E11" s="10">
        <v>1</v>
      </c>
    </row>
    <row r="12" spans="1:8" x14ac:dyDescent="0.25">
      <c r="A12" s="1" t="str">
        <f>Stakeholders!A12</f>
        <v>Emergency Call System Operator</v>
      </c>
      <c r="B12" s="10">
        <f>COUNTIF('Goals &amp; Risks'!$E$2:$E$200,A12)</f>
        <v>6</v>
      </c>
      <c r="C12" s="10">
        <f t="shared" si="0"/>
        <v>1</v>
      </c>
      <c r="F12" s="10">
        <v>1</v>
      </c>
    </row>
    <row r="13" spans="1:8" ht="15.75" thickBot="1" x14ac:dyDescent="0.3">
      <c r="A13" s="48" t="str">
        <f>Stakeholders!A13</f>
        <v>Society</v>
      </c>
      <c r="B13" s="49">
        <f>COUNTIF('Goals &amp; Risks'!$E$2:$E$200,A13)</f>
        <v>3</v>
      </c>
      <c r="C13" s="49">
        <f t="shared" si="0"/>
        <v>4</v>
      </c>
      <c r="D13" s="49">
        <v>1</v>
      </c>
      <c r="E13" s="49">
        <v>1</v>
      </c>
      <c r="F13" s="49">
        <v>1</v>
      </c>
      <c r="G13" s="49">
        <v>1</v>
      </c>
    </row>
    <row r="14" spans="1:8" ht="15.75" thickTop="1" x14ac:dyDescent="0.25">
      <c r="A14" s="41" t="s">
        <v>198</v>
      </c>
      <c r="B14" s="31">
        <f>SUM(B3:B13)</f>
        <v>63</v>
      </c>
      <c r="C14" s="31"/>
      <c r="D14" s="31">
        <f>SUMPRODUCT(D3:D13,$B3:$B13)</f>
        <v>29</v>
      </c>
      <c r="E14" s="31">
        <f t="shared" ref="E14:G14" si="1">SUMPRODUCT(E3:E13,$B3:$B13)</f>
        <v>28</v>
      </c>
      <c r="F14" s="31">
        <f t="shared" si="1"/>
        <v>29</v>
      </c>
      <c r="G14" s="31">
        <f t="shared" si="1"/>
        <v>26</v>
      </c>
    </row>
  </sheetData>
  <autoFilter ref="A2:G13" xr:uid="{00000000-0009-0000-0000-000004000000}"/>
  <conditionalFormatting sqref="C3:C13">
    <cfRule type="cellIs" dxfId="0" priority="1" operator="greaterThan">
      <formula>0</formula>
    </cfRule>
  </conditionalFormatting>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6"/>
  <dimension ref="A1:E16"/>
  <sheetViews>
    <sheetView zoomScaleNormal="100" workbookViewId="0">
      <selection activeCell="F6" sqref="F6"/>
    </sheetView>
  </sheetViews>
  <sheetFormatPr baseColWidth="10" defaultRowHeight="15" x14ac:dyDescent="0.25"/>
  <cols>
    <col min="2" max="2" width="11.7109375" customWidth="1"/>
    <col min="4" max="4" width="100.28515625" customWidth="1"/>
  </cols>
  <sheetData>
    <row r="1" spans="1:5" ht="15.75" thickBot="1" x14ac:dyDescent="0.3">
      <c r="A1" s="50" t="s">
        <v>187</v>
      </c>
      <c r="B1" s="50" t="s">
        <v>47</v>
      </c>
      <c r="C1" s="50" t="s">
        <v>10</v>
      </c>
      <c r="D1" s="50" t="s">
        <v>127</v>
      </c>
      <c r="E1" s="4"/>
    </row>
    <row r="2" spans="1:5" ht="30" customHeight="1" thickTop="1" x14ac:dyDescent="0.25">
      <c r="A2" s="75" t="s">
        <v>223</v>
      </c>
      <c r="B2" s="55" t="s">
        <v>2</v>
      </c>
      <c r="C2" s="3" t="s">
        <v>50</v>
      </c>
      <c r="D2" s="11" t="s">
        <v>121</v>
      </c>
      <c r="E2" s="36">
        <f t="shared" ref="E2:E11" si="0">LEN(D2)</f>
        <v>124</v>
      </c>
    </row>
    <row r="3" spans="1:5" ht="30" customHeight="1" x14ac:dyDescent="0.25">
      <c r="A3" s="76"/>
      <c r="B3" s="55" t="s">
        <v>0</v>
      </c>
      <c r="C3" s="3" t="s">
        <v>48</v>
      </c>
      <c r="D3" s="1" t="s">
        <v>37</v>
      </c>
      <c r="E3" s="36">
        <f t="shared" si="0"/>
        <v>185</v>
      </c>
    </row>
    <row r="4" spans="1:5" ht="30" customHeight="1" x14ac:dyDescent="0.25">
      <c r="A4" s="76"/>
      <c r="B4" s="55" t="s">
        <v>1</v>
      </c>
      <c r="C4" s="3" t="s">
        <v>50</v>
      </c>
      <c r="D4" s="11" t="s">
        <v>36</v>
      </c>
      <c r="E4" s="36">
        <f t="shared" si="0"/>
        <v>108</v>
      </c>
    </row>
    <row r="5" spans="1:5" ht="30" customHeight="1" x14ac:dyDescent="0.25">
      <c r="A5" s="76"/>
      <c r="B5" s="55" t="s">
        <v>5</v>
      </c>
      <c r="C5" s="3" t="s">
        <v>48</v>
      </c>
      <c r="D5" s="11" t="s">
        <v>44</v>
      </c>
      <c r="E5" s="36">
        <f t="shared" si="0"/>
        <v>146</v>
      </c>
    </row>
    <row r="6" spans="1:5" ht="30" customHeight="1" x14ac:dyDescent="0.25">
      <c r="A6" s="76"/>
      <c r="B6" s="55" t="s">
        <v>4</v>
      </c>
      <c r="C6" s="3" t="s">
        <v>50</v>
      </c>
      <c r="D6" s="11" t="s">
        <v>155</v>
      </c>
      <c r="E6" s="36">
        <f t="shared" si="0"/>
        <v>241</v>
      </c>
    </row>
    <row r="7" spans="1:5" ht="30" customHeight="1" x14ac:dyDescent="0.25">
      <c r="A7" s="76"/>
      <c r="B7" s="55" t="s">
        <v>3</v>
      </c>
      <c r="C7" s="3" t="s">
        <v>50</v>
      </c>
      <c r="D7" s="11" t="s">
        <v>43</v>
      </c>
      <c r="E7" s="36">
        <f t="shared" si="0"/>
        <v>131</v>
      </c>
    </row>
    <row r="8" spans="1:5" ht="30" customHeight="1" x14ac:dyDescent="0.25">
      <c r="A8" s="76"/>
      <c r="B8" s="55" t="s">
        <v>6</v>
      </c>
      <c r="C8" s="35" t="s">
        <v>50</v>
      </c>
      <c r="D8" s="16" t="s">
        <v>157</v>
      </c>
      <c r="E8" s="36">
        <f t="shared" si="0"/>
        <v>229</v>
      </c>
    </row>
    <row r="9" spans="1:5" ht="30" customHeight="1" x14ac:dyDescent="0.25">
      <c r="A9" s="77" t="s">
        <v>156</v>
      </c>
      <c r="B9" s="56" t="s">
        <v>78</v>
      </c>
      <c r="C9" s="3" t="s">
        <v>50</v>
      </c>
      <c r="D9" s="16" t="s">
        <v>77</v>
      </c>
      <c r="E9" s="36">
        <f t="shared" si="0"/>
        <v>167</v>
      </c>
    </row>
    <row r="10" spans="1:5" ht="30" customHeight="1" x14ac:dyDescent="0.25">
      <c r="A10" s="77"/>
      <c r="B10" s="56" t="s">
        <v>7</v>
      </c>
      <c r="C10" s="3" t="s">
        <v>49</v>
      </c>
      <c r="D10" s="11" t="s">
        <v>51</v>
      </c>
      <c r="E10" s="36">
        <f t="shared" si="0"/>
        <v>116</v>
      </c>
    </row>
    <row r="11" spans="1:5" ht="30" customHeight="1" x14ac:dyDescent="0.25">
      <c r="A11" s="77"/>
      <c r="B11" s="56" t="s">
        <v>8</v>
      </c>
      <c r="C11" s="3" t="s">
        <v>49</v>
      </c>
      <c r="D11" s="11" t="s">
        <v>86</v>
      </c>
      <c r="E11" s="36">
        <f t="shared" si="0"/>
        <v>169</v>
      </c>
    </row>
    <row r="13" spans="1:5" ht="15.75" thickBot="1" x14ac:dyDescent="0.3">
      <c r="C13" s="37"/>
      <c r="D13" s="37"/>
    </row>
    <row r="14" spans="1:5" x14ac:dyDescent="0.25">
      <c r="C14" s="38" t="s">
        <v>191</v>
      </c>
      <c r="D14" s="39" t="s">
        <v>192</v>
      </c>
    </row>
    <row r="15" spans="1:5" x14ac:dyDescent="0.25">
      <c r="C15" s="38" t="s">
        <v>193</v>
      </c>
      <c r="D15" s="39" t="s">
        <v>196</v>
      </c>
    </row>
    <row r="16" spans="1:5" x14ac:dyDescent="0.25">
      <c r="C16" s="38" t="s">
        <v>194</v>
      </c>
      <c r="D16" s="39" t="s">
        <v>195</v>
      </c>
    </row>
  </sheetData>
  <sheetProtection formatColumns="0" formatRows="0" selectLockedCells="1" selectUnlockedCells="1"/>
  <mergeCells count="2">
    <mergeCell ref="A2:A8"/>
    <mergeCell ref="A9:A11"/>
  </mergeCells>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5"/>
  <dimension ref="A1:E6"/>
  <sheetViews>
    <sheetView zoomScaleNormal="100" workbookViewId="0">
      <selection sqref="A1:E1"/>
    </sheetView>
  </sheetViews>
  <sheetFormatPr baseColWidth="10" defaultColWidth="11.5703125" defaultRowHeight="15" x14ac:dyDescent="0.25"/>
  <cols>
    <col min="1" max="1" width="11.5703125" style="9" customWidth="1"/>
    <col min="2" max="2" width="18.42578125" style="8" customWidth="1"/>
    <col min="3" max="3" width="45.5703125" style="8" customWidth="1"/>
    <col min="4" max="4" width="60.140625" style="8" customWidth="1"/>
    <col min="5" max="5" width="47.140625" style="8" customWidth="1"/>
    <col min="6" max="16384" width="11.5703125" style="8"/>
  </cols>
  <sheetData>
    <row r="1" spans="1:5" ht="15.75" thickBot="1" x14ac:dyDescent="0.3">
      <c r="A1" s="50" t="s">
        <v>20</v>
      </c>
      <c r="B1" s="51" t="s">
        <v>21</v>
      </c>
      <c r="C1" s="52" t="s">
        <v>26</v>
      </c>
      <c r="D1" s="52" t="s">
        <v>27</v>
      </c>
      <c r="E1" s="52" t="s">
        <v>35</v>
      </c>
    </row>
    <row r="2" spans="1:5" ht="64.150000000000006" customHeight="1" thickTop="1" x14ac:dyDescent="0.25">
      <c r="A2" s="34">
        <v>2</v>
      </c>
      <c r="B2" s="8" t="s">
        <v>29</v>
      </c>
      <c r="C2" s="32" t="s">
        <v>143</v>
      </c>
      <c r="D2" s="32" t="s">
        <v>150</v>
      </c>
      <c r="E2" s="32" t="s">
        <v>151</v>
      </c>
    </row>
    <row r="3" spans="1:5" ht="64.150000000000006" customHeight="1" x14ac:dyDescent="0.25">
      <c r="A3" s="34">
        <v>1</v>
      </c>
      <c r="B3" s="8" t="s">
        <v>28</v>
      </c>
      <c r="C3" s="32" t="s">
        <v>144</v>
      </c>
      <c r="D3" s="32" t="s">
        <v>147</v>
      </c>
      <c r="E3" s="32" t="s">
        <v>152</v>
      </c>
    </row>
    <row r="4" spans="1:5" ht="64.150000000000006" customHeight="1" x14ac:dyDescent="0.25">
      <c r="A4" s="34">
        <v>0</v>
      </c>
      <c r="B4" s="8" t="s">
        <v>23</v>
      </c>
      <c r="C4" s="32" t="s">
        <v>24</v>
      </c>
      <c r="D4" s="32" t="s">
        <v>24</v>
      </c>
      <c r="E4" s="32" t="s">
        <v>24</v>
      </c>
    </row>
    <row r="5" spans="1:5" ht="64.150000000000006" customHeight="1" x14ac:dyDescent="0.25">
      <c r="A5" s="34">
        <v>-1</v>
      </c>
      <c r="B5" s="8" t="s">
        <v>25</v>
      </c>
      <c r="C5" s="33" t="s">
        <v>145</v>
      </c>
      <c r="D5" s="32" t="s">
        <v>148</v>
      </c>
      <c r="E5" s="32" t="s">
        <v>153</v>
      </c>
    </row>
    <row r="6" spans="1:5" ht="64.150000000000006" customHeight="1" x14ac:dyDescent="0.25">
      <c r="A6" s="34">
        <v>-2</v>
      </c>
      <c r="B6" s="8" t="s">
        <v>22</v>
      </c>
      <c r="C6" s="33" t="s">
        <v>146</v>
      </c>
      <c r="D6" s="32" t="s">
        <v>149</v>
      </c>
      <c r="E6" s="32" t="s">
        <v>154</v>
      </c>
    </row>
  </sheetData>
  <sheetProtection sheet="1" objects="1" scenarios="1" formatColumns="0" formatRows="0" selectLockedCells="1" selectUnlockedCells="1"/>
  <conditionalFormatting sqref="A2:A6">
    <cfRule type="colorScale" priority="1">
      <colorScale>
        <cfvo type="min"/>
        <cfvo type="percentile" val="50"/>
        <cfvo type="max"/>
        <color rgb="FFF8696B"/>
        <color rgb="FFFCFCFF"/>
        <color rgb="FF63BE7B"/>
      </colorScale>
    </cfRule>
  </conditionalFormatting>
  <pageMargins left="0.7" right="0.7" top="0.78740157499999996" bottom="0.78740157499999996" header="0.3" footer="0.3"/>
  <pageSetup paperSize="9" orientation="portrait" horizontalDpi="4294967293"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3"/>
  <dimension ref="A1:C17"/>
  <sheetViews>
    <sheetView zoomScaleNormal="100" workbookViewId="0">
      <selection sqref="A1:C1"/>
    </sheetView>
  </sheetViews>
  <sheetFormatPr baseColWidth="10" defaultRowHeight="15" x14ac:dyDescent="0.25"/>
  <cols>
    <col min="1" max="1" width="5.28515625" style="6" customWidth="1"/>
    <col min="2" max="2" width="6.140625" customWidth="1"/>
    <col min="3" max="3" width="88.85546875" customWidth="1"/>
  </cols>
  <sheetData>
    <row r="1" spans="1:3" ht="15.75" thickBot="1" x14ac:dyDescent="0.3">
      <c r="A1" s="50" t="s">
        <v>189</v>
      </c>
      <c r="B1" s="50" t="s">
        <v>30</v>
      </c>
      <c r="C1" s="50" t="s">
        <v>190</v>
      </c>
    </row>
    <row r="2" spans="1:3" ht="15.75" thickTop="1" x14ac:dyDescent="0.25">
      <c r="A2" s="6">
        <v>1</v>
      </c>
      <c r="B2" s="4"/>
      <c r="C2" s="5" t="s">
        <v>62</v>
      </c>
    </row>
    <row r="3" spans="1:3" x14ac:dyDescent="0.25">
      <c r="A3" s="7"/>
      <c r="B3" t="str">
        <f>"S-"&amp;$A$2&amp;"."&amp;ROW()-MATCH($A$2,$A:$A,)</f>
        <v>S-1.1</v>
      </c>
      <c r="C3" t="s">
        <v>55</v>
      </c>
    </row>
    <row r="4" spans="1:3" x14ac:dyDescent="0.25">
      <c r="A4" s="7"/>
      <c r="B4" t="str">
        <f>"S-"&amp;$A$2&amp;"."&amp;ROW()-MATCH($A$2,$A:$A,)</f>
        <v>S-1.2</v>
      </c>
      <c r="C4" t="s">
        <v>56</v>
      </c>
    </row>
    <row r="5" spans="1:3" x14ac:dyDescent="0.25">
      <c r="A5" s="6">
        <v>2</v>
      </c>
      <c r="B5" s="4"/>
      <c r="C5" s="5" t="s">
        <v>58</v>
      </c>
    </row>
    <row r="6" spans="1:3" x14ac:dyDescent="0.25">
      <c r="A6" s="7"/>
      <c r="B6" t="str">
        <f>"S-"&amp;$A$5&amp;"."&amp;ROW()-MATCH($A$5,$A:$A,)</f>
        <v>S-2.1</v>
      </c>
      <c r="C6" t="s">
        <v>59</v>
      </c>
    </row>
    <row r="7" spans="1:3" x14ac:dyDescent="0.25">
      <c r="A7" s="7"/>
      <c r="B7" t="str">
        <f>"S-"&amp;$A$5&amp;"."&amp;ROW()-MATCH($A$5,$A:$A,)</f>
        <v>S-2.2</v>
      </c>
      <c r="C7" t="s">
        <v>60</v>
      </c>
    </row>
    <row r="8" spans="1:3" x14ac:dyDescent="0.25">
      <c r="A8" s="6">
        <v>3</v>
      </c>
      <c r="B8" s="4"/>
      <c r="C8" s="5" t="s">
        <v>61</v>
      </c>
    </row>
    <row r="9" spans="1:3" x14ac:dyDescent="0.25">
      <c r="A9" s="7">
        <f>A8</f>
        <v>3</v>
      </c>
      <c r="B9" t="str">
        <f>"S-"&amp;$A$8&amp;"."&amp;ROW()-MATCH($A$8,$A:$A,)</f>
        <v>S-3.1</v>
      </c>
      <c r="C9" t="s">
        <v>63</v>
      </c>
    </row>
    <row r="10" spans="1:3" x14ac:dyDescent="0.25">
      <c r="A10" s="7">
        <f>A9</f>
        <v>3</v>
      </c>
      <c r="B10" t="str">
        <f>"S-"&amp;$A$8&amp;"."&amp;ROW()-MATCH($A$8,$A:$A,)</f>
        <v>S-3.2</v>
      </c>
      <c r="C10" t="s">
        <v>64</v>
      </c>
    </row>
    <row r="11" spans="1:3" x14ac:dyDescent="0.25">
      <c r="A11" s="6">
        <v>4</v>
      </c>
      <c r="B11" s="4"/>
      <c r="C11" s="5" t="s">
        <v>92</v>
      </c>
    </row>
    <row r="12" spans="1:3" x14ac:dyDescent="0.25">
      <c r="B12" t="str">
        <f>"S-"&amp;$A$11&amp;"."&amp;ROW()-MATCH($A$11,$A:$A,)</f>
        <v>S-4.1</v>
      </c>
      <c r="C12" t="s">
        <v>96</v>
      </c>
    </row>
    <row r="13" spans="1:3" x14ac:dyDescent="0.25">
      <c r="B13" t="str">
        <f>"S-"&amp;$A$11&amp;"."&amp;ROW()-MATCH($A$11,$A:$A,)</f>
        <v>S-4.2</v>
      </c>
      <c r="C13" t="s">
        <v>98</v>
      </c>
    </row>
    <row r="14" spans="1:3" x14ac:dyDescent="0.25">
      <c r="B14" t="str">
        <f>"S-"&amp;$A$11&amp;"."&amp;ROW()-MATCH($A$11,$A:$A,)</f>
        <v>S-4.3</v>
      </c>
      <c r="C14" s="28" t="s">
        <v>97</v>
      </c>
    </row>
    <row r="15" spans="1:3" x14ac:dyDescent="0.25">
      <c r="A15" s="6">
        <v>5</v>
      </c>
      <c r="C15" s="5" t="s">
        <v>93</v>
      </c>
    </row>
    <row r="16" spans="1:3" x14ac:dyDescent="0.25">
      <c r="B16" t="str">
        <f>"S-"&amp;$A$15&amp;"."&amp;ROW()-MATCH($A$15,$A:$A,)</f>
        <v>S-5.1</v>
      </c>
      <c r="C16" t="s">
        <v>94</v>
      </c>
    </row>
    <row r="17" spans="2:3" x14ac:dyDescent="0.25">
      <c r="B17" t="str">
        <f>"S-"&amp;$A$15&amp;"."&amp;ROW()-MATCH($A$15,$A:$A,)</f>
        <v>S-5.2</v>
      </c>
      <c r="C17" t="s">
        <v>95</v>
      </c>
    </row>
  </sheetData>
  <sheetProtection sheet="1" objects="1" scenarios="1" formatColumns="0" formatRows="0" selectLockedCells="1" selectUnlockedCells="1"/>
  <pageMargins left="0.7" right="0.7" top="0.78740157499999996" bottom="0.78740157499999996" header="0.3" footer="0.3"/>
  <pageSetup paperSize="9" orientation="portrait" horizontalDpi="4294967293"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10"/>
  <dimension ref="A1:E9"/>
  <sheetViews>
    <sheetView topLeftCell="B1" workbookViewId="0">
      <selection activeCell="C9" sqref="C9"/>
    </sheetView>
  </sheetViews>
  <sheetFormatPr baseColWidth="10" defaultColWidth="11.5703125" defaultRowHeight="15" x14ac:dyDescent="0.25"/>
  <cols>
    <col min="1" max="1" width="21.140625" style="1" customWidth="1"/>
    <col min="2" max="2" width="16.28515625" style="1" customWidth="1"/>
    <col min="3" max="3" width="17.42578125" style="1" customWidth="1"/>
    <col min="4" max="4" width="87.7109375" style="1" customWidth="1"/>
    <col min="5" max="16384" width="11.5703125" style="1"/>
  </cols>
  <sheetData>
    <row r="1" spans="1:5" ht="15.75" thickBot="1" x14ac:dyDescent="0.3">
      <c r="A1" s="50" t="s">
        <v>207</v>
      </c>
      <c r="B1" s="11"/>
      <c r="C1" s="50" t="s">
        <v>222</v>
      </c>
      <c r="D1" s="50" t="s">
        <v>190</v>
      </c>
    </row>
    <row r="2" spans="1:5" ht="45.75" thickTop="1" x14ac:dyDescent="0.25">
      <c r="A2" s="30" t="s">
        <v>203</v>
      </c>
      <c r="C2" s="30" t="s">
        <v>212</v>
      </c>
      <c r="D2" s="1" t="s">
        <v>219</v>
      </c>
      <c r="E2" s="36"/>
    </row>
    <row r="3" spans="1:5" ht="30" x14ac:dyDescent="0.25">
      <c r="A3" s="30" t="s">
        <v>204</v>
      </c>
      <c r="C3" s="30" t="s">
        <v>210</v>
      </c>
      <c r="D3" s="1" t="s">
        <v>217</v>
      </c>
      <c r="E3" s="36"/>
    </row>
    <row r="4" spans="1:5" x14ac:dyDescent="0.25">
      <c r="A4" s="30" t="s">
        <v>205</v>
      </c>
      <c r="C4" s="30" t="s">
        <v>231</v>
      </c>
      <c r="D4" s="1" t="s">
        <v>232</v>
      </c>
      <c r="E4" s="36"/>
    </row>
    <row r="5" spans="1:5" ht="30" x14ac:dyDescent="0.25">
      <c r="A5" s="30" t="s">
        <v>206</v>
      </c>
      <c r="C5" s="30" t="s">
        <v>209</v>
      </c>
      <c r="D5" s="1" t="s">
        <v>216</v>
      </c>
      <c r="E5" s="36"/>
    </row>
    <row r="6" spans="1:5" ht="30" x14ac:dyDescent="0.25">
      <c r="A6" s="30" t="s">
        <v>227</v>
      </c>
      <c r="C6" s="30" t="s">
        <v>214</v>
      </c>
      <c r="D6" s="1" t="s">
        <v>221</v>
      </c>
      <c r="E6" s="36"/>
    </row>
    <row r="7" spans="1:5" ht="30" x14ac:dyDescent="0.25">
      <c r="C7" s="30" t="s">
        <v>213</v>
      </c>
      <c r="D7" s="1" t="s">
        <v>220</v>
      </c>
      <c r="E7" s="36"/>
    </row>
    <row r="8" spans="1:5" ht="30" x14ac:dyDescent="0.25">
      <c r="C8" s="30" t="s">
        <v>211</v>
      </c>
      <c r="D8" s="1" t="s">
        <v>218</v>
      </c>
    </row>
    <row r="9" spans="1:5" x14ac:dyDescent="0.25">
      <c r="C9" s="30" t="s">
        <v>270</v>
      </c>
      <c r="D9" s="1" t="s">
        <v>271</v>
      </c>
    </row>
  </sheetData>
  <sortState xmlns:xlrd2="http://schemas.microsoft.com/office/spreadsheetml/2017/richdata2" ref="C2:D8">
    <sortCondition ref="C2:C8"/>
  </sortState>
  <pageMargins left="0.7" right="0.7" top="0.78740157499999996" bottom="0.78740157499999996" header="0.3" footer="0.3"/>
  <pageSetup paperSize="9" orientation="portrait" horizontalDpi="4294967293"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4">
    <tabColor theme="0" tint="-0.499984740745262"/>
  </sheetPr>
  <dimension ref="A1:H13"/>
  <sheetViews>
    <sheetView zoomScaleNormal="100" workbookViewId="0">
      <selection activeCell="I27" sqref="I27"/>
    </sheetView>
  </sheetViews>
  <sheetFormatPr baseColWidth="10" defaultColWidth="11.5703125" defaultRowHeight="15" x14ac:dyDescent="0.25"/>
  <cols>
    <col min="1" max="1" width="6.42578125" style="1" customWidth="1"/>
    <col min="2" max="2" width="17.28515625" style="1" customWidth="1"/>
    <col min="3" max="3" width="10.7109375" style="1" customWidth="1"/>
    <col min="4" max="5" width="11.5703125" style="10"/>
    <col min="6" max="6" width="8.5703125" style="10" customWidth="1"/>
    <col min="7" max="7" width="66.85546875" style="1" customWidth="1"/>
    <col min="8" max="16384" width="11.5703125" style="1"/>
  </cols>
  <sheetData>
    <row r="1" spans="1:8" ht="18" customHeight="1" x14ac:dyDescent="0.25">
      <c r="A1" s="78" t="s">
        <v>13</v>
      </c>
      <c r="B1" s="78"/>
      <c r="C1" s="40"/>
      <c r="D1" s="79" t="s">
        <v>140</v>
      </c>
      <c r="E1" s="80"/>
      <c r="F1" s="80"/>
      <c r="G1" s="80"/>
      <c r="H1" s="80"/>
    </row>
    <row r="2" spans="1:8" ht="15.75" thickBot="1" x14ac:dyDescent="0.3">
      <c r="A2" s="12" t="s">
        <v>45</v>
      </c>
      <c r="B2" s="12" t="s">
        <v>46</v>
      </c>
      <c r="D2" s="31" t="s">
        <v>126</v>
      </c>
      <c r="E2" s="31" t="s">
        <v>125</v>
      </c>
      <c r="F2" s="31" t="s">
        <v>129</v>
      </c>
      <c r="G2" s="30" t="s">
        <v>127</v>
      </c>
    </row>
    <row r="3" spans="1:8" ht="15.75" thickTop="1" x14ac:dyDescent="0.25">
      <c r="A3" s="1" t="s">
        <v>12</v>
      </c>
      <c r="B3" s="1" t="s">
        <v>11</v>
      </c>
      <c r="D3" s="10">
        <v>-2</v>
      </c>
      <c r="E3" s="10">
        <v>-2</v>
      </c>
      <c r="F3" s="10">
        <f>QUOTIENT(D3,2)+D3+E3+6</f>
        <v>1</v>
      </c>
      <c r="G3" s="1" t="s">
        <v>134</v>
      </c>
    </row>
    <row r="4" spans="1:8" ht="103.9" customHeight="1" x14ac:dyDescent="0.25">
      <c r="A4" s="1" t="s">
        <v>14</v>
      </c>
      <c r="B4" s="1" t="s">
        <v>15</v>
      </c>
      <c r="D4" s="10">
        <v>-2</v>
      </c>
      <c r="E4" s="10">
        <v>-1</v>
      </c>
      <c r="F4" s="10">
        <f t="shared" ref="F4:F13" si="0">QUOTIENT(D4,2)+D4+E4+6</f>
        <v>2</v>
      </c>
      <c r="G4" s="1" t="s">
        <v>131</v>
      </c>
    </row>
    <row r="5" spans="1:8" x14ac:dyDescent="0.25">
      <c r="A5" s="1" t="s">
        <v>16</v>
      </c>
      <c r="B5" s="1" t="s">
        <v>17</v>
      </c>
      <c r="D5" s="10">
        <v>-2</v>
      </c>
      <c r="E5" s="10">
        <v>0</v>
      </c>
      <c r="F5" s="10">
        <f t="shared" si="0"/>
        <v>3</v>
      </c>
      <c r="G5" s="1" t="s">
        <v>133</v>
      </c>
    </row>
    <row r="6" spans="1:8" x14ac:dyDescent="0.25">
      <c r="A6" s="1" t="s">
        <v>18</v>
      </c>
      <c r="B6" s="1" t="s">
        <v>19</v>
      </c>
      <c r="D6" s="10">
        <v>-1</v>
      </c>
      <c r="E6" s="10">
        <v>-1</v>
      </c>
      <c r="F6" s="10">
        <f t="shared" si="0"/>
        <v>4</v>
      </c>
      <c r="G6" s="1" t="s">
        <v>135</v>
      </c>
    </row>
    <row r="7" spans="1:8" x14ac:dyDescent="0.25">
      <c r="A7" s="1" t="s">
        <v>117</v>
      </c>
      <c r="B7" s="1" t="s">
        <v>116</v>
      </c>
      <c r="D7" s="10">
        <v>-1</v>
      </c>
      <c r="E7" s="10">
        <v>0</v>
      </c>
      <c r="F7" s="10">
        <f t="shared" si="0"/>
        <v>5</v>
      </c>
      <c r="G7" s="1" t="s">
        <v>132</v>
      </c>
    </row>
    <row r="8" spans="1:8" ht="25.15" customHeight="1" x14ac:dyDescent="0.25">
      <c r="D8" s="10">
        <v>0</v>
      </c>
      <c r="E8" s="10">
        <v>0</v>
      </c>
      <c r="F8" s="10">
        <f t="shared" si="0"/>
        <v>6</v>
      </c>
      <c r="G8" s="1" t="s">
        <v>139</v>
      </c>
    </row>
    <row r="9" spans="1:8" ht="30" x14ac:dyDescent="0.25">
      <c r="D9" s="10">
        <v>1</v>
      </c>
      <c r="E9" s="10">
        <v>0</v>
      </c>
      <c r="F9" s="10">
        <f t="shared" si="0"/>
        <v>7</v>
      </c>
      <c r="G9" s="1" t="s">
        <v>136</v>
      </c>
    </row>
    <row r="10" spans="1:8" x14ac:dyDescent="0.25">
      <c r="D10" s="10">
        <v>1</v>
      </c>
      <c r="E10" s="10">
        <v>1</v>
      </c>
      <c r="F10" s="10">
        <f t="shared" si="0"/>
        <v>8</v>
      </c>
      <c r="G10" s="1" t="s">
        <v>130</v>
      </c>
    </row>
    <row r="11" spans="1:8" ht="30" x14ac:dyDescent="0.25">
      <c r="D11" s="10">
        <v>2</v>
      </c>
      <c r="E11" s="10">
        <v>0</v>
      </c>
      <c r="F11" s="10">
        <f t="shared" si="0"/>
        <v>9</v>
      </c>
      <c r="G11" s="1" t="s">
        <v>128</v>
      </c>
    </row>
    <row r="12" spans="1:8" x14ac:dyDescent="0.25">
      <c r="D12" s="10">
        <v>2</v>
      </c>
      <c r="E12" s="10">
        <v>1</v>
      </c>
      <c r="F12" s="10">
        <f t="shared" si="0"/>
        <v>10</v>
      </c>
      <c r="G12" s="1" t="s">
        <v>137</v>
      </c>
    </row>
    <row r="13" spans="1:8" x14ac:dyDescent="0.25">
      <c r="D13" s="10">
        <v>2</v>
      </c>
      <c r="E13" s="10">
        <v>2</v>
      </c>
      <c r="F13" s="10">
        <f t="shared" si="0"/>
        <v>11</v>
      </c>
      <c r="G13" s="1" t="s">
        <v>138</v>
      </c>
    </row>
  </sheetData>
  <sheetProtection algorithmName="SHA-512" hashValue="OFjk5+vi4YdjszTG9WIqkZGO5SNWVEU/r/GvebJXgNh+rbJn3DrtRACx9CkzU9uuB03WDsRxhFaqglfu4sKjYw==" saltValue="XEaDZjOv+MGL3IiyWz1XpA==" spinCount="100000" sheet="1" objects="1" scenarios="1" selectLockedCells="1" selectUnlockedCells="1"/>
  <mergeCells count="2">
    <mergeCell ref="A1:B1"/>
    <mergeCell ref="D1:H1"/>
  </mergeCells>
  <pageMargins left="0.7" right="0.7" top="0.78740157499999996" bottom="0.78740157499999996" header="0.3" footer="0.3"/>
  <pageSetup paperSize="9" orientation="portrait" horizontalDpi="4294967293"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11">
    <tabColor theme="0" tint="-0.499984740745262"/>
  </sheetPr>
  <dimension ref="A1:BK6"/>
  <sheetViews>
    <sheetView workbookViewId="0">
      <selection activeCell="K28" sqref="K28"/>
    </sheetView>
  </sheetViews>
  <sheetFormatPr baseColWidth="10" defaultRowHeight="15" x14ac:dyDescent="0.25"/>
  <sheetData>
    <row r="1" spans="1:63" x14ac:dyDescent="0.25">
      <c r="A1">
        <v>-1</v>
      </c>
      <c r="B1">
        <v>0</v>
      </c>
      <c r="K1">
        <v>1</v>
      </c>
      <c r="P1">
        <v>-1</v>
      </c>
      <c r="S1">
        <v>-2</v>
      </c>
      <c r="T1">
        <v>2</v>
      </c>
      <c r="AX1">
        <v>-2</v>
      </c>
      <c r="AY1">
        <v>1</v>
      </c>
      <c r="BI1">
        <v>1</v>
      </c>
      <c r="BK1">
        <v>0</v>
      </c>
    </row>
    <row r="2" spans="1:63" x14ac:dyDescent="0.25">
      <c r="A2">
        <v>-2</v>
      </c>
      <c r="B2">
        <v>0</v>
      </c>
      <c r="K2">
        <v>1</v>
      </c>
      <c r="L2">
        <v>-2</v>
      </c>
      <c r="P2">
        <v>-2</v>
      </c>
      <c r="Q2">
        <v>-2</v>
      </c>
      <c r="S2">
        <v>0</v>
      </c>
      <c r="T2">
        <v>1</v>
      </c>
      <c r="AX2">
        <v>-1</v>
      </c>
      <c r="BI2">
        <v>0</v>
      </c>
    </row>
    <row r="3" spans="1:63" x14ac:dyDescent="0.25">
      <c r="A3">
        <v>0</v>
      </c>
      <c r="B3">
        <v>1</v>
      </c>
      <c r="E3">
        <v>0</v>
      </c>
      <c r="G3">
        <v>-2</v>
      </c>
      <c r="I3">
        <v>-2</v>
      </c>
      <c r="K3">
        <v>1</v>
      </c>
      <c r="L3">
        <v>-1</v>
      </c>
      <c r="N3">
        <v>-2</v>
      </c>
      <c r="AX3">
        <v>-2</v>
      </c>
      <c r="AZ3">
        <v>-2</v>
      </c>
      <c r="BB3">
        <v>-2</v>
      </c>
      <c r="BI3">
        <v>1</v>
      </c>
      <c r="BJ3">
        <v>0</v>
      </c>
      <c r="BK3">
        <v>-2</v>
      </c>
    </row>
    <row r="4" spans="1:63" x14ac:dyDescent="0.25">
      <c r="C4">
        <v>0</v>
      </c>
      <c r="D4">
        <v>2</v>
      </c>
      <c r="F4">
        <v>2</v>
      </c>
      <c r="K4">
        <v>0</v>
      </c>
      <c r="M4">
        <v>-1</v>
      </c>
      <c r="N4">
        <v>-1</v>
      </c>
      <c r="AX4">
        <v>0</v>
      </c>
      <c r="BJ4">
        <v>1</v>
      </c>
      <c r="BK4">
        <v>-1</v>
      </c>
    </row>
    <row r="5" spans="1:63" x14ac:dyDescent="0.25">
      <c r="G5">
        <v>-2</v>
      </c>
      <c r="H5">
        <v>-2</v>
      </c>
      <c r="I5">
        <v>-2</v>
      </c>
      <c r="J5">
        <v>-2</v>
      </c>
      <c r="O5">
        <v>-2</v>
      </c>
      <c r="AX5">
        <v>-2</v>
      </c>
      <c r="AZ5">
        <v>0</v>
      </c>
      <c r="BB5">
        <v>-2</v>
      </c>
      <c r="BK5">
        <v>-2</v>
      </c>
    </row>
    <row r="6" spans="1:63" x14ac:dyDescent="0.25">
      <c r="C6">
        <v>0</v>
      </c>
      <c r="D6">
        <v>2</v>
      </c>
      <c r="F6">
        <v>2</v>
      </c>
      <c r="R6">
        <v>-1</v>
      </c>
      <c r="S6">
        <v>-2</v>
      </c>
      <c r="T6">
        <v>1</v>
      </c>
      <c r="AX6">
        <v>0</v>
      </c>
    </row>
  </sheetData>
  <sheetProtection selectLockedCells="1" selectUnlockedCells="1"/>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17</vt:i4>
      </vt:variant>
    </vt:vector>
  </HeadingPairs>
  <TitlesOfParts>
    <vt:vector size="28" baseType="lpstr">
      <vt:lpstr>Stakeholders</vt:lpstr>
      <vt:lpstr>Goals &amp; Risks</vt:lpstr>
      <vt:lpstr>Requirements</vt:lpstr>
      <vt:lpstr>Epics</vt:lpstr>
      <vt:lpstr>Who does what</vt:lpstr>
      <vt:lpstr>_Dimensions</vt:lpstr>
      <vt:lpstr>_Effects</vt:lpstr>
      <vt:lpstr>_Scenarios</vt:lpstr>
      <vt:lpstr>_Domains</vt:lpstr>
      <vt:lpstr>_Param</vt:lpstr>
      <vt:lpstr>_GRREQ</vt:lpstr>
      <vt:lpstr>Abbreviations</vt:lpstr>
      <vt:lpstr>CompTypes</vt:lpstr>
      <vt:lpstr>CompTypes_and_Explanation</vt:lpstr>
      <vt:lpstr>Dimensions</vt:lpstr>
      <vt:lpstr>Dims_And_Explanation</vt:lpstr>
      <vt:lpstr>Domains</vt:lpstr>
      <vt:lpstr>GR_Affected_Stakeholders</vt:lpstr>
      <vt:lpstr>GR_All</vt:lpstr>
      <vt:lpstr>GR_Degrees</vt:lpstr>
      <vt:lpstr>GR_Dims_System_might_affect</vt:lpstr>
      <vt:lpstr>GR_IDs</vt:lpstr>
      <vt:lpstr>Realization_Explanation</vt:lpstr>
      <vt:lpstr>Req_IDs</vt:lpstr>
      <vt:lpstr>Reqs_and_Explanation</vt:lpstr>
      <vt:lpstr>Scenarios</vt:lpstr>
      <vt:lpstr>Scens_And_Explanation</vt:lpstr>
      <vt:lpstr>Stakeholders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2020-01-16T11:21:21Z</dcterms:modified>
</cp:coreProperties>
</file>